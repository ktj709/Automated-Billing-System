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Flats " sheetId="9" r:id="rId1"/>
    <sheet name="Villas" sheetId="10" r:id="rId2"/>
  </sheets>
  <definedNames>
    <definedName name="_xlnm._FilterDatabase" localSheetId="0" hidden="1">'Flats '!$A$6:$F$126</definedName>
    <definedName name="_xlnm.Print_Titles" localSheetId="0">'Flats '!$6:$6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4" i="9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43"/>
  <c r="G32"/>
  <c r="G33"/>
  <c r="G34"/>
  <c r="G35"/>
  <c r="G36"/>
  <c r="G37"/>
  <c r="G38"/>
  <c r="G39"/>
  <c r="G40"/>
  <c r="G41"/>
  <c r="G42"/>
  <c r="G31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8"/>
  <c r="G9"/>
  <c r="G7"/>
  <c r="F36" i="10"/>
  <c r="A7" i="9" l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</calcChain>
</file>

<file path=xl/sharedStrings.xml><?xml version="1.0" encoding="utf-8"?>
<sst xmlns="http://schemas.openxmlformats.org/spreadsheetml/2006/main" count="566" uniqueCount="209">
  <si>
    <t>nirmal singh sandhu</t>
  </si>
  <si>
    <t>2BHK</t>
  </si>
  <si>
    <t>GF</t>
  </si>
  <si>
    <t>F23</t>
  </si>
  <si>
    <t>S. Maninder Singh s/o S. Rewel Singh AND Smt. Sumandeep Kaur w/o S. Maninder Singh</t>
  </si>
  <si>
    <t>FF</t>
  </si>
  <si>
    <t>Mr. Sunil Kumar s/o Hari Shankar Singh</t>
  </si>
  <si>
    <t>SF</t>
  </si>
  <si>
    <t>F22</t>
  </si>
  <si>
    <t>QAZI HILAL AHMAD</t>
  </si>
  <si>
    <t>Smt. Avtar Kaur w/o S. Rattan Singh</t>
  </si>
  <si>
    <t>F21</t>
  </si>
  <si>
    <t>Mr. Gautam Jain s/o Paras Das Jain and Rakesh Kumar Aggarwal S/o Darshan Kumar aggarwal</t>
  </si>
  <si>
    <t>S. Jagnandan Bir Singh s/o S. Narottam Singh</t>
  </si>
  <si>
    <t>vijay kumar baheri</t>
  </si>
  <si>
    <t>F20</t>
  </si>
  <si>
    <t xml:space="preserve">Mrs. Renu Aggarwal w/o Rakesh Kumar Aggarwal AND Mr. Rakesh Kumar Aggarwal s/o Darshan Kumar Aggarwal </t>
  </si>
  <si>
    <t>Mr. Gunjan Dua s/o Sh. Harish dua</t>
  </si>
  <si>
    <t xml:space="preserve">Dr. Prem Rana </t>
  </si>
  <si>
    <t>F19</t>
  </si>
  <si>
    <t>Regent Land Holdings Pvt Ltd</t>
  </si>
  <si>
    <t>Surinderjit Singh</t>
  </si>
  <si>
    <t>F18</t>
  </si>
  <si>
    <t>S. Salwant Singh s/o Sh. Chanan Singh AND Smt. Puro Kaur w/o S. Salwant Singh</t>
  </si>
  <si>
    <t>Mrs. Gulati</t>
  </si>
  <si>
    <t>Prabhjot Kalsi</t>
  </si>
  <si>
    <t>F17</t>
  </si>
  <si>
    <t>RANJIT SINGH BHANGU</t>
  </si>
  <si>
    <t>DIVYA KAPOOR</t>
  </si>
  <si>
    <t>F16</t>
  </si>
  <si>
    <t>Amarjeet Kaur</t>
  </si>
  <si>
    <t>Sh. Rahul Gautam s/o Kapil Dev Gautam//Anjana Gautam</t>
  </si>
  <si>
    <t>MANISHA SODHI</t>
  </si>
  <si>
    <t>F15</t>
  </si>
  <si>
    <t>Geeta Khurana</t>
  </si>
  <si>
    <t>S. Kashmir Singh s/o S. Mehain Singh/Harpreet (Dr Hargun)</t>
  </si>
  <si>
    <t>F10</t>
  </si>
  <si>
    <t>Mr. Rajwinder Kaur w/o Jaskaran Singh/tajinder Kaur (dr Hartej)</t>
  </si>
  <si>
    <t>F9</t>
  </si>
  <si>
    <t xml:space="preserve">Rajwant Singh s/o Chanan Singh </t>
  </si>
  <si>
    <t>Rashma Oberai</t>
  </si>
  <si>
    <t>Ruchi ad Ruhi</t>
  </si>
  <si>
    <t>F8</t>
  </si>
  <si>
    <t>Mr. Manbir Kaur w/o S. Amarpal Singh</t>
  </si>
  <si>
    <t>AMANJOT &amp; ANUPREET KAUR</t>
  </si>
  <si>
    <t>F7</t>
  </si>
  <si>
    <t>Menu sehgal</t>
  </si>
  <si>
    <t>Sh. Sanjay Bhardwaj AND Sh. Vikas Bhardwaj s/o Sh. R. C. Bhardawaj</t>
  </si>
  <si>
    <t>F6</t>
  </si>
  <si>
    <t>SUNIL PAWA, PARDEEP SINGH &amp; SAROJ KUMARI</t>
  </si>
  <si>
    <t>F5</t>
  </si>
  <si>
    <t>S. Gurpreet Singh s/o Amrik Singh</t>
  </si>
  <si>
    <t>Ashok Oberoi</t>
  </si>
  <si>
    <t>F4</t>
  </si>
  <si>
    <t>Ravinder Singh</t>
  </si>
  <si>
    <t>Mr. Varun Vasudeva s/o Rajan Vasudev and Mrs. Sonia Vasudeva w/o Mr. Varun Vasudeva</t>
  </si>
  <si>
    <t>Sehdev Singh</t>
  </si>
  <si>
    <t>F3</t>
  </si>
  <si>
    <t>Ranjit kalsi</t>
  </si>
  <si>
    <t>Ms. Madhu Bala and VINOD KUMAR</t>
  </si>
  <si>
    <t>MANMOHAN SINGH</t>
  </si>
  <si>
    <t>F2</t>
  </si>
  <si>
    <t>NISHAN SINGH</t>
  </si>
  <si>
    <t>Manjit Kaur Gill</t>
  </si>
  <si>
    <t>Amritbeer Kaur,Harkrishan Singh</t>
  </si>
  <si>
    <t>D11</t>
  </si>
  <si>
    <t xml:space="preserve">Inderpal Ahullwalia </t>
  </si>
  <si>
    <t>Aarti singh</t>
  </si>
  <si>
    <t>Robin Singal</t>
  </si>
  <si>
    <t>D10</t>
  </si>
  <si>
    <t>Lakhwinder Singh</t>
  </si>
  <si>
    <t>Anju Mahajan</t>
  </si>
  <si>
    <t>Surinder Kaur Ranger</t>
  </si>
  <si>
    <t>D9</t>
  </si>
  <si>
    <t>Rajbir Singh</t>
  </si>
  <si>
    <t>Jupinder Sandhu</t>
  </si>
  <si>
    <t>Dr. Navpreet Singh</t>
  </si>
  <si>
    <t>D8</t>
  </si>
  <si>
    <t>Ashok Kumar Mehra</t>
  </si>
  <si>
    <t>Anshu Gupta</t>
  </si>
  <si>
    <t>Navdeep Kaur</t>
  </si>
  <si>
    <t>D7</t>
  </si>
  <si>
    <t>Rashma Oberoi</t>
  </si>
  <si>
    <t>Gursharan Singh</t>
  </si>
  <si>
    <t>Santosh Gambhir</t>
  </si>
  <si>
    <t>D6</t>
  </si>
  <si>
    <t>Kuldeep Singh</t>
  </si>
  <si>
    <t>Manju Mahajan</t>
  </si>
  <si>
    <t>D4</t>
  </si>
  <si>
    <t>Aarti Garg</t>
  </si>
  <si>
    <t>Iqbal Singh</t>
  </si>
  <si>
    <t>D3</t>
  </si>
  <si>
    <t>Dr. Prem Rana</t>
  </si>
  <si>
    <t>D2</t>
  </si>
  <si>
    <t>Mohammad Qaqoo</t>
  </si>
  <si>
    <t>Rajesh Sabharwal</t>
  </si>
  <si>
    <t>Vinod Khosla</t>
  </si>
  <si>
    <t>D1</t>
  </si>
  <si>
    <t>Prem Rana</t>
  </si>
  <si>
    <t>Indu Aggarwal</t>
  </si>
  <si>
    <t>5BHK</t>
  </si>
  <si>
    <t>B18</t>
  </si>
  <si>
    <t>Vandana Aggarwal</t>
  </si>
  <si>
    <t>Birbal Sharma, Amritpal Singh</t>
  </si>
  <si>
    <t>Manjit Kaur</t>
  </si>
  <si>
    <t>B17</t>
  </si>
  <si>
    <t>Kulwant Rai</t>
  </si>
  <si>
    <t>Romy Gupta</t>
  </si>
  <si>
    <t>Nitin Tuteja</t>
  </si>
  <si>
    <t>B6</t>
  </si>
  <si>
    <t>Barinder Singh Bhullar</t>
  </si>
  <si>
    <t>Satinder Bassi</t>
  </si>
  <si>
    <t>Deepak Kapila</t>
  </si>
  <si>
    <t>B5</t>
  </si>
  <si>
    <t>Komal Bhandari</t>
  </si>
  <si>
    <t>Satinder Kaur</t>
  </si>
  <si>
    <t>Sumit Wadhera</t>
  </si>
  <si>
    <t>4BHK</t>
  </si>
  <si>
    <t>C15</t>
  </si>
  <si>
    <t>Harjinder Singh</t>
  </si>
  <si>
    <t>BALBIR RAI TAHEEM</t>
  </si>
  <si>
    <t>C14</t>
  </si>
  <si>
    <t>POOJA TRIKHA AND ASHIMA TRIKHA</t>
  </si>
  <si>
    <t>RACHNA JAIN</t>
  </si>
  <si>
    <t>C11</t>
  </si>
  <si>
    <t>Baljit Sharma</t>
  </si>
  <si>
    <t>Kanwar Shekhar C Sharma</t>
  </si>
  <si>
    <t>C10</t>
  </si>
  <si>
    <t>Daljit Kaur</t>
  </si>
  <si>
    <t>Balbir Singh</t>
  </si>
  <si>
    <t>GIRDHARI LAL CHOPRA</t>
  </si>
  <si>
    <t>C17</t>
  </si>
  <si>
    <t>Unique Contructions</t>
  </si>
  <si>
    <t>Mr. Rajan Kumar s/o Ram Parshad Sharma</t>
  </si>
  <si>
    <t>Mrs. Neena Sood and Sudesh Sood</t>
  </si>
  <si>
    <t>C16</t>
  </si>
  <si>
    <t>Dr. Sant Singh Dhillon</t>
  </si>
  <si>
    <t>balbir kaur jabble</t>
  </si>
  <si>
    <t>JASPAL SOHI</t>
  </si>
  <si>
    <t>C9</t>
  </si>
  <si>
    <t>JARNAIL SINGH POWAR</t>
  </si>
  <si>
    <t>RAJBIR KAUR W/o Sukhinder Singh</t>
  </si>
  <si>
    <t>S.Jora Singh and S. Bahadur Singh</t>
  </si>
  <si>
    <t>C8</t>
  </si>
  <si>
    <t>Jaswant  singh randhawa</t>
  </si>
  <si>
    <t>Client Name</t>
  </si>
  <si>
    <t>Type</t>
  </si>
  <si>
    <t>Floor</t>
  </si>
  <si>
    <t>Flat no</t>
  </si>
  <si>
    <t>Sr.No</t>
  </si>
  <si>
    <t>Meter No.</t>
  </si>
  <si>
    <t xml:space="preserve">SCO </t>
  </si>
  <si>
    <t>Blessings City</t>
  </si>
  <si>
    <t>Sr</t>
  </si>
  <si>
    <t>FLOOR</t>
  </si>
  <si>
    <t>NAME</t>
  </si>
  <si>
    <t>UNITS</t>
  </si>
  <si>
    <t>MP Sir Villa</t>
  </si>
  <si>
    <t>A2</t>
  </si>
  <si>
    <t>RAMANBIR KAUR</t>
  </si>
  <si>
    <t>A6 &amp; A6</t>
  </si>
  <si>
    <t>A6 &amp; A7</t>
  </si>
  <si>
    <t>SHARANJEET SINGH</t>
  </si>
  <si>
    <t>C 34 &amp; 35</t>
  </si>
  <si>
    <t>RANDHIR SINGH</t>
  </si>
  <si>
    <t>C 42</t>
  </si>
  <si>
    <t>PARKASH KAUR</t>
  </si>
  <si>
    <t>D18</t>
  </si>
  <si>
    <t xml:space="preserve"> GURCHARAN JI/jasbir Kaur</t>
  </si>
  <si>
    <t>D19</t>
  </si>
  <si>
    <t>GURINDER KAUR</t>
  </si>
  <si>
    <t>D20</t>
  </si>
  <si>
    <t>HIMANSHU/Rishabh Pawa</t>
  </si>
  <si>
    <t>D21</t>
  </si>
  <si>
    <t>MANAH MASIH</t>
  </si>
  <si>
    <t>D23</t>
  </si>
  <si>
    <t>PARMINDER KAUR</t>
  </si>
  <si>
    <t>D24</t>
  </si>
  <si>
    <t>Smriti/ Rohit Shukla</t>
  </si>
  <si>
    <t>B26</t>
  </si>
  <si>
    <t>YASMEEN RANDHAWA</t>
  </si>
  <si>
    <t>D22/ E-block/ St.Lights</t>
  </si>
  <si>
    <t>D22-E-block-St.Lights</t>
  </si>
  <si>
    <t>Bagicha/ E-block/     St. lights (temp mtr)</t>
  </si>
  <si>
    <t>Old D-22 meter</t>
  </si>
  <si>
    <t>A17, B27, B28</t>
  </si>
  <si>
    <t>New temp meter</t>
  </si>
  <si>
    <t>C Block</t>
  </si>
  <si>
    <t>C 6 - C 7</t>
  </si>
  <si>
    <t>Bajaj</t>
  </si>
  <si>
    <t xml:space="preserve">D </t>
  </si>
  <si>
    <t>BAJAJ BLOCK</t>
  </si>
  <si>
    <t>A TO Z Store</t>
  </si>
  <si>
    <t>OLD SCHOOL/JUGAAD SINGH</t>
  </si>
  <si>
    <t>NDFM BUSINESS</t>
  </si>
  <si>
    <t xml:space="preserve">ADD MORE </t>
  </si>
  <si>
    <t>RAJESH GUPTA/MANJIT KAUR</t>
  </si>
  <si>
    <t>SYNERGY</t>
  </si>
  <si>
    <t>SACHIN ARORA</t>
  </si>
  <si>
    <t>KAWALJEET KAUR</t>
  </si>
  <si>
    <t>GJ SINGH</t>
  </si>
  <si>
    <t>7 Apple</t>
  </si>
  <si>
    <t>TOTAL</t>
  </si>
  <si>
    <t>Plot</t>
  </si>
  <si>
    <t>PLOTS/SCO</t>
  </si>
  <si>
    <t xml:space="preserve"> PLOT</t>
  </si>
  <si>
    <t>Plots</t>
  </si>
  <si>
    <t>SCOs</t>
  </si>
  <si>
    <t xml:space="preserve">Maintenance and Fixed Charges in Rupees 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</si>
</sst>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1"/>
      <name val="Bookman Old Style"/>
      <family val="1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4"/>
      <name val="Bookman Old Style"/>
      <family val="1"/>
    </font>
    <font>
      <sz val="36"/>
      <color theme="1"/>
      <name val="Bookman Old Style"/>
      <family val="1"/>
    </font>
    <font>
      <b/>
      <sz val="14"/>
      <color theme="1" tint="4.9989318521683403E-2"/>
      <name val="Bookman Old Style"/>
      <family val="1"/>
    </font>
    <font>
      <sz val="12"/>
      <color theme="1"/>
      <name val="Bookman Old Style"/>
      <family val="1"/>
    </font>
    <font>
      <b/>
      <sz val="18"/>
      <color theme="1"/>
      <name val="Bookman Old Style"/>
      <family val="1"/>
    </font>
    <font>
      <b/>
      <sz val="16"/>
      <color theme="1"/>
      <name val="Bookman Old Style"/>
      <family val="1"/>
    </font>
    <font>
      <sz val="16"/>
      <color theme="1"/>
      <name val="Bookman Old Style"/>
      <family val="1"/>
    </font>
    <font>
      <b/>
      <u/>
      <sz val="14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1">
    <xf numFmtId="0" fontId="0" fillId="0" borderId="0" xfId="0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3" fillId="0" borderId="0" xfId="0" applyFont="1" applyFill="1"/>
    <xf numFmtId="0" fontId="2" fillId="0" borderId="0" xfId="0" applyFont="1" applyFill="1" applyAlignment="1">
      <alignment horizontal="left"/>
    </xf>
    <xf numFmtId="0" fontId="10" fillId="0" borderId="11" xfId="1" applyFont="1" applyFill="1" applyBorder="1" applyAlignment="1">
      <alignment horizontal="left" vertical="center" wrapText="1"/>
    </xf>
    <xf numFmtId="0" fontId="10" fillId="0" borderId="9" xfId="1" applyFont="1" applyFill="1" applyBorder="1" applyAlignment="1">
      <alignment horizontal="left" vertical="center" wrapText="1"/>
    </xf>
    <xf numFmtId="0" fontId="5" fillId="0" borderId="0" xfId="0" applyFont="1" applyFill="1"/>
    <xf numFmtId="0" fontId="10" fillId="0" borderId="29" xfId="1" applyFont="1" applyFill="1" applyBorder="1" applyAlignment="1">
      <alignment horizontal="left" vertical="center" wrapText="1"/>
    </xf>
    <xf numFmtId="0" fontId="10" fillId="0" borderId="0" xfId="1" applyFont="1" applyFill="1" applyBorder="1" applyAlignment="1">
      <alignment horizontal="left" vertical="center" wrapText="1"/>
    </xf>
    <xf numFmtId="0" fontId="11" fillId="0" borderId="0" xfId="0" applyFont="1" applyFill="1"/>
    <xf numFmtId="0" fontId="13" fillId="0" borderId="2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3" fillId="0" borderId="28" xfId="0" applyFont="1" applyFill="1" applyBorder="1" applyAlignment="1"/>
    <xf numFmtId="0" fontId="3" fillId="0" borderId="28" xfId="0" applyFont="1" applyFill="1" applyBorder="1" applyAlignment="1">
      <alignment wrapText="1"/>
    </xf>
    <xf numFmtId="0" fontId="3" fillId="0" borderId="0" xfId="0" applyFont="1" applyFill="1" applyAlignment="1"/>
    <xf numFmtId="0" fontId="3" fillId="0" borderId="0" xfId="0" applyFont="1" applyFill="1" applyAlignment="1">
      <alignment wrapText="1"/>
    </xf>
    <xf numFmtId="0" fontId="9" fillId="0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28"/>
  <sheetViews>
    <sheetView tabSelected="1" workbookViewId="0"/>
  </sheetViews>
  <sheetFormatPr defaultRowHeight="18"/>
  <cols>
    <col min="1" max="1" width="7.140625" style="1" customWidth="1"/>
    <col min="2" max="2" width="13.28515625" style="1" customWidth="1"/>
    <col min="3" max="3" width="10.85546875" style="1" customWidth="1"/>
    <col min="4" max="4" width="15.85546875" style="1" customWidth="1"/>
    <col min="5" max="5" width="35.42578125" style="2" customWidth="1"/>
    <col min="6" max="6" width="19.140625" style="1" customWidth="1"/>
    <col min="7" max="7" width="21.28515625" style="1" customWidth="1"/>
    <col min="8" max="16384" width="9.140625" style="1"/>
  </cols>
  <sheetData>
    <row r="2" spans="1:7" ht="45.75">
      <c r="A2" s="71" t="s">
        <v>152</v>
      </c>
      <c r="B2" s="71"/>
      <c r="C2" s="71"/>
      <c r="D2" s="71"/>
      <c r="E2" s="71"/>
      <c r="F2" s="71"/>
    </row>
    <row r="3" spans="1:7">
      <c r="A3" s="58"/>
      <c r="B3" s="58"/>
      <c r="C3" s="58"/>
      <c r="D3" s="58"/>
      <c r="E3" s="59"/>
      <c r="F3" s="58"/>
    </row>
    <row r="4" spans="1:7" s="3" customFormat="1">
      <c r="A4" s="67"/>
      <c r="B4" s="67"/>
      <c r="C4" s="67"/>
      <c r="D4" s="67"/>
      <c r="E4" s="67"/>
      <c r="F4" s="68"/>
    </row>
    <row r="5" spans="1:7" ht="18.75" thickBot="1">
      <c r="A5" s="58"/>
      <c r="B5" s="58"/>
      <c r="C5" s="58"/>
      <c r="D5" s="58"/>
      <c r="E5" s="59"/>
      <c r="F5" s="58"/>
    </row>
    <row r="6" spans="1:7" s="6" customFormat="1" ht="72.75" thickBot="1">
      <c r="A6" s="57" t="s">
        <v>149</v>
      </c>
      <c r="B6" s="56" t="s">
        <v>148</v>
      </c>
      <c r="C6" s="56" t="s">
        <v>147</v>
      </c>
      <c r="D6" s="56" t="s">
        <v>146</v>
      </c>
      <c r="E6" s="61" t="s">
        <v>145</v>
      </c>
      <c r="F6" s="83" t="s">
        <v>150</v>
      </c>
      <c r="G6" s="57" t="s">
        <v>208</v>
      </c>
    </row>
    <row r="7" spans="1:7" ht="36">
      <c r="A7" s="8">
        <f>1</f>
        <v>1</v>
      </c>
      <c r="B7" s="7" t="s">
        <v>143</v>
      </c>
      <c r="C7" s="7" t="s">
        <v>7</v>
      </c>
      <c r="D7" s="7" t="s">
        <v>117</v>
      </c>
      <c r="E7" s="60" t="s">
        <v>142</v>
      </c>
      <c r="F7" s="84">
        <v>21129958</v>
      </c>
      <c r="G7" s="90">
        <f>1533+357</f>
        <v>1890</v>
      </c>
    </row>
    <row r="8" spans="1:7" ht="36">
      <c r="A8" s="10">
        <f t="shared" ref="A8:A71" si="0">A7+1</f>
        <v>2</v>
      </c>
      <c r="B8" s="9" t="s">
        <v>143</v>
      </c>
      <c r="C8" s="9" t="s">
        <v>5</v>
      </c>
      <c r="D8" s="9" t="s">
        <v>117</v>
      </c>
      <c r="E8" s="16" t="s">
        <v>144</v>
      </c>
      <c r="F8" s="85">
        <v>21129916</v>
      </c>
      <c r="G8" s="90">
        <f t="shared" ref="G8:G30" si="1">1533+357</f>
        <v>1890</v>
      </c>
    </row>
    <row r="9" spans="1:7" ht="36">
      <c r="A9" s="10">
        <f t="shared" si="0"/>
        <v>3</v>
      </c>
      <c r="B9" s="9" t="s">
        <v>143</v>
      </c>
      <c r="C9" s="9" t="s">
        <v>2</v>
      </c>
      <c r="D9" s="9" t="s">
        <v>117</v>
      </c>
      <c r="E9" s="16" t="s">
        <v>142</v>
      </c>
      <c r="F9" s="85">
        <v>24114213</v>
      </c>
      <c r="G9" s="90">
        <f t="shared" si="1"/>
        <v>1890</v>
      </c>
    </row>
    <row r="10" spans="1:7" ht="36">
      <c r="A10" s="10">
        <f t="shared" si="0"/>
        <v>4</v>
      </c>
      <c r="B10" s="9" t="s">
        <v>139</v>
      </c>
      <c r="C10" s="9" t="s">
        <v>7</v>
      </c>
      <c r="D10" s="9" t="s">
        <v>117</v>
      </c>
      <c r="E10" s="16" t="s">
        <v>141</v>
      </c>
      <c r="F10" s="85">
        <v>528011</v>
      </c>
      <c r="G10" s="90">
        <f t="shared" si="1"/>
        <v>1890</v>
      </c>
    </row>
    <row r="11" spans="1:7">
      <c r="A11" s="10">
        <f t="shared" si="0"/>
        <v>5</v>
      </c>
      <c r="B11" s="9" t="s">
        <v>139</v>
      </c>
      <c r="C11" s="9" t="s">
        <v>5</v>
      </c>
      <c r="D11" s="9" t="s">
        <v>117</v>
      </c>
      <c r="E11" s="16" t="s">
        <v>140</v>
      </c>
      <c r="F11" s="85">
        <v>22102869</v>
      </c>
      <c r="G11" s="90">
        <f t="shared" si="1"/>
        <v>1890</v>
      </c>
    </row>
    <row r="12" spans="1:7">
      <c r="A12" s="10">
        <f t="shared" si="0"/>
        <v>6</v>
      </c>
      <c r="B12" s="9" t="s">
        <v>139</v>
      </c>
      <c r="C12" s="9" t="s">
        <v>2</v>
      </c>
      <c r="D12" s="9" t="s">
        <v>117</v>
      </c>
      <c r="E12" s="16" t="s">
        <v>138</v>
      </c>
      <c r="F12" s="85">
        <v>528007</v>
      </c>
      <c r="G12" s="90">
        <f t="shared" si="1"/>
        <v>1890</v>
      </c>
    </row>
    <row r="13" spans="1:7">
      <c r="A13" s="10">
        <f t="shared" si="0"/>
        <v>7</v>
      </c>
      <c r="B13" s="9" t="s">
        <v>135</v>
      </c>
      <c r="C13" s="9" t="s">
        <v>7</v>
      </c>
      <c r="D13" s="9" t="s">
        <v>117</v>
      </c>
      <c r="E13" s="16" t="s">
        <v>137</v>
      </c>
      <c r="F13" s="85">
        <v>528010</v>
      </c>
      <c r="G13" s="90">
        <f t="shared" si="1"/>
        <v>1890</v>
      </c>
    </row>
    <row r="14" spans="1:7">
      <c r="A14" s="10">
        <f t="shared" si="0"/>
        <v>8</v>
      </c>
      <c r="B14" s="9" t="s">
        <v>135</v>
      </c>
      <c r="C14" s="9" t="s">
        <v>5</v>
      </c>
      <c r="D14" s="9" t="s">
        <v>117</v>
      </c>
      <c r="E14" s="16" t="s">
        <v>136</v>
      </c>
      <c r="F14" s="85">
        <v>24114215</v>
      </c>
      <c r="G14" s="90">
        <f t="shared" si="1"/>
        <v>1890</v>
      </c>
    </row>
    <row r="15" spans="1:7" ht="36">
      <c r="A15" s="10">
        <f t="shared" si="0"/>
        <v>9</v>
      </c>
      <c r="B15" s="9" t="s">
        <v>135</v>
      </c>
      <c r="C15" s="9" t="s">
        <v>2</v>
      </c>
      <c r="D15" s="9" t="s">
        <v>117</v>
      </c>
      <c r="E15" s="16" t="s">
        <v>134</v>
      </c>
      <c r="F15" s="85">
        <v>528004</v>
      </c>
      <c r="G15" s="90">
        <f t="shared" si="1"/>
        <v>1890</v>
      </c>
    </row>
    <row r="16" spans="1:7" ht="36">
      <c r="A16" s="10">
        <f t="shared" si="0"/>
        <v>10</v>
      </c>
      <c r="B16" s="9" t="s">
        <v>131</v>
      </c>
      <c r="C16" s="9" t="s">
        <v>7</v>
      </c>
      <c r="D16" s="9" t="s">
        <v>117</v>
      </c>
      <c r="E16" s="16" t="s">
        <v>133</v>
      </c>
      <c r="F16" s="85">
        <v>528014</v>
      </c>
      <c r="G16" s="90">
        <f t="shared" si="1"/>
        <v>1890</v>
      </c>
    </row>
    <row r="17" spans="1:7">
      <c r="A17" s="10">
        <f t="shared" si="0"/>
        <v>11</v>
      </c>
      <c r="B17" s="9" t="s">
        <v>131</v>
      </c>
      <c r="C17" s="9" t="s">
        <v>5</v>
      </c>
      <c r="D17" s="9" t="s">
        <v>117</v>
      </c>
      <c r="E17" s="16" t="s">
        <v>132</v>
      </c>
      <c r="F17" s="85">
        <v>22102921</v>
      </c>
      <c r="G17" s="90">
        <f t="shared" si="1"/>
        <v>1890</v>
      </c>
    </row>
    <row r="18" spans="1:7">
      <c r="A18" s="10">
        <f t="shared" si="0"/>
        <v>12</v>
      </c>
      <c r="B18" s="9" t="s">
        <v>131</v>
      </c>
      <c r="C18" s="9" t="s">
        <v>2</v>
      </c>
      <c r="D18" s="9" t="s">
        <v>117</v>
      </c>
      <c r="E18" s="16" t="s">
        <v>130</v>
      </c>
      <c r="F18" s="85">
        <v>21082127</v>
      </c>
      <c r="G18" s="90">
        <f t="shared" si="1"/>
        <v>1890</v>
      </c>
    </row>
    <row r="19" spans="1:7">
      <c r="A19" s="10">
        <f t="shared" si="0"/>
        <v>13</v>
      </c>
      <c r="B19" s="9" t="s">
        <v>127</v>
      </c>
      <c r="C19" s="9" t="s">
        <v>7</v>
      </c>
      <c r="D19" s="9" t="s">
        <v>117</v>
      </c>
      <c r="E19" s="16" t="s">
        <v>129</v>
      </c>
      <c r="F19" s="85">
        <v>20054610</v>
      </c>
      <c r="G19" s="90">
        <f t="shared" si="1"/>
        <v>1890</v>
      </c>
    </row>
    <row r="20" spans="1:7">
      <c r="A20" s="10">
        <f t="shared" si="0"/>
        <v>14</v>
      </c>
      <c r="B20" s="9" t="s">
        <v>127</v>
      </c>
      <c r="C20" s="9" t="s">
        <v>5</v>
      </c>
      <c r="D20" s="9" t="s">
        <v>117</v>
      </c>
      <c r="E20" s="16" t="s">
        <v>128</v>
      </c>
      <c r="F20" s="85">
        <v>20054604</v>
      </c>
      <c r="G20" s="90">
        <f t="shared" si="1"/>
        <v>1890</v>
      </c>
    </row>
    <row r="21" spans="1:7" ht="36">
      <c r="A21" s="10">
        <f t="shared" si="0"/>
        <v>15</v>
      </c>
      <c r="B21" s="9" t="s">
        <v>127</v>
      </c>
      <c r="C21" s="9" t="s">
        <v>2</v>
      </c>
      <c r="D21" s="9" t="s">
        <v>117</v>
      </c>
      <c r="E21" s="17" t="s">
        <v>20</v>
      </c>
      <c r="F21" s="85">
        <v>20054606</v>
      </c>
      <c r="G21" s="90">
        <f t="shared" si="1"/>
        <v>1890</v>
      </c>
    </row>
    <row r="22" spans="1:7" ht="36">
      <c r="A22" s="10">
        <f t="shared" si="0"/>
        <v>16</v>
      </c>
      <c r="B22" s="9" t="s">
        <v>124</v>
      </c>
      <c r="C22" s="9" t="s">
        <v>7</v>
      </c>
      <c r="D22" s="9" t="s">
        <v>117</v>
      </c>
      <c r="E22" s="16" t="s">
        <v>126</v>
      </c>
      <c r="F22" s="85">
        <v>20054956</v>
      </c>
      <c r="G22" s="90">
        <f t="shared" si="1"/>
        <v>1890</v>
      </c>
    </row>
    <row r="23" spans="1:7">
      <c r="A23" s="10">
        <f t="shared" si="0"/>
        <v>17</v>
      </c>
      <c r="B23" s="9" t="s">
        <v>124</v>
      </c>
      <c r="C23" s="9" t="s">
        <v>5</v>
      </c>
      <c r="D23" s="9" t="s">
        <v>117</v>
      </c>
      <c r="E23" s="16" t="s">
        <v>125</v>
      </c>
      <c r="F23" s="85">
        <v>20054955</v>
      </c>
      <c r="G23" s="90">
        <f t="shared" si="1"/>
        <v>1890</v>
      </c>
    </row>
    <row r="24" spans="1:7">
      <c r="A24" s="10">
        <f t="shared" si="0"/>
        <v>18</v>
      </c>
      <c r="B24" s="9" t="s">
        <v>124</v>
      </c>
      <c r="C24" s="9" t="s">
        <v>2</v>
      </c>
      <c r="D24" s="9" t="s">
        <v>117</v>
      </c>
      <c r="E24" s="16" t="s">
        <v>123</v>
      </c>
      <c r="F24" s="85">
        <v>20054606</v>
      </c>
      <c r="G24" s="90">
        <f t="shared" si="1"/>
        <v>1890</v>
      </c>
    </row>
    <row r="25" spans="1:7" ht="36">
      <c r="A25" s="10">
        <f t="shared" si="0"/>
        <v>19</v>
      </c>
      <c r="B25" s="9" t="s">
        <v>121</v>
      </c>
      <c r="C25" s="9" t="s">
        <v>7</v>
      </c>
      <c r="D25" s="9" t="s">
        <v>117</v>
      </c>
      <c r="E25" s="17" t="s">
        <v>20</v>
      </c>
      <c r="F25" s="85">
        <v>21082169</v>
      </c>
      <c r="G25" s="90">
        <f t="shared" si="1"/>
        <v>1890</v>
      </c>
    </row>
    <row r="26" spans="1:7" ht="36">
      <c r="A26" s="10">
        <f t="shared" si="0"/>
        <v>20</v>
      </c>
      <c r="B26" s="9" t="s">
        <v>121</v>
      </c>
      <c r="C26" s="9" t="s">
        <v>5</v>
      </c>
      <c r="D26" s="9" t="s">
        <v>117</v>
      </c>
      <c r="E26" s="16" t="s">
        <v>122</v>
      </c>
      <c r="F26" s="85">
        <v>21082169</v>
      </c>
      <c r="G26" s="90">
        <f t="shared" si="1"/>
        <v>1890</v>
      </c>
    </row>
    <row r="27" spans="1:7">
      <c r="A27" s="10">
        <f t="shared" si="0"/>
        <v>21</v>
      </c>
      <c r="B27" s="9" t="s">
        <v>121</v>
      </c>
      <c r="C27" s="9" t="s">
        <v>2</v>
      </c>
      <c r="D27" s="9" t="s">
        <v>117</v>
      </c>
      <c r="E27" s="16" t="s">
        <v>120</v>
      </c>
      <c r="F27" s="85">
        <v>21082171</v>
      </c>
      <c r="G27" s="90">
        <f t="shared" si="1"/>
        <v>1890</v>
      </c>
    </row>
    <row r="28" spans="1:7" ht="36">
      <c r="A28" s="10">
        <f t="shared" si="0"/>
        <v>22</v>
      </c>
      <c r="B28" s="9" t="s">
        <v>118</v>
      </c>
      <c r="C28" s="9" t="s">
        <v>7</v>
      </c>
      <c r="D28" s="9" t="s">
        <v>117</v>
      </c>
      <c r="E28" s="17" t="s">
        <v>20</v>
      </c>
      <c r="F28" s="85">
        <v>21082173</v>
      </c>
      <c r="G28" s="90">
        <f t="shared" si="1"/>
        <v>1890</v>
      </c>
    </row>
    <row r="29" spans="1:7">
      <c r="A29" s="10">
        <f t="shared" si="0"/>
        <v>23</v>
      </c>
      <c r="B29" s="9" t="s">
        <v>118</v>
      </c>
      <c r="C29" s="9" t="s">
        <v>5</v>
      </c>
      <c r="D29" s="9" t="s">
        <v>117</v>
      </c>
      <c r="E29" s="16" t="s">
        <v>119</v>
      </c>
      <c r="F29" s="85">
        <v>21082173</v>
      </c>
      <c r="G29" s="90">
        <f t="shared" si="1"/>
        <v>1890</v>
      </c>
    </row>
    <row r="30" spans="1:7">
      <c r="A30" s="10">
        <f t="shared" si="0"/>
        <v>24</v>
      </c>
      <c r="B30" s="9" t="s">
        <v>118</v>
      </c>
      <c r="C30" s="9" t="s">
        <v>2</v>
      </c>
      <c r="D30" s="9" t="s">
        <v>117</v>
      </c>
      <c r="E30" s="16" t="s">
        <v>116</v>
      </c>
      <c r="F30" s="85">
        <v>21082175</v>
      </c>
      <c r="G30" s="90">
        <f t="shared" si="1"/>
        <v>1890</v>
      </c>
    </row>
    <row r="31" spans="1:7">
      <c r="A31" s="10">
        <f t="shared" si="0"/>
        <v>25</v>
      </c>
      <c r="B31" s="9" t="s">
        <v>113</v>
      </c>
      <c r="C31" s="9" t="s">
        <v>7</v>
      </c>
      <c r="D31" s="9" t="s">
        <v>100</v>
      </c>
      <c r="E31" s="18" t="s">
        <v>115</v>
      </c>
      <c r="F31" s="85">
        <v>19152137</v>
      </c>
      <c r="G31" s="89">
        <f>1954+357</f>
        <v>2311</v>
      </c>
    </row>
    <row r="32" spans="1:7">
      <c r="A32" s="10">
        <f t="shared" si="0"/>
        <v>26</v>
      </c>
      <c r="B32" s="9" t="s">
        <v>113</v>
      </c>
      <c r="C32" s="9" t="s">
        <v>5</v>
      </c>
      <c r="D32" s="9" t="s">
        <v>100</v>
      </c>
      <c r="E32" s="18" t="s">
        <v>114</v>
      </c>
      <c r="F32" s="85">
        <v>19152141</v>
      </c>
      <c r="G32" s="89">
        <f t="shared" ref="G32:G42" si="2">1954+357</f>
        <v>2311</v>
      </c>
    </row>
    <row r="33" spans="1:7">
      <c r="A33" s="10">
        <f t="shared" si="0"/>
        <v>27</v>
      </c>
      <c r="B33" s="9" t="s">
        <v>113</v>
      </c>
      <c r="C33" s="9" t="s">
        <v>2</v>
      </c>
      <c r="D33" s="9" t="s">
        <v>100</v>
      </c>
      <c r="E33" s="18" t="s">
        <v>112</v>
      </c>
      <c r="F33" s="85">
        <v>19152166</v>
      </c>
      <c r="G33" s="89">
        <f t="shared" si="2"/>
        <v>2311</v>
      </c>
    </row>
    <row r="34" spans="1:7">
      <c r="A34" s="10">
        <f t="shared" si="0"/>
        <v>28</v>
      </c>
      <c r="B34" s="9" t="s">
        <v>109</v>
      </c>
      <c r="C34" s="9" t="s">
        <v>7</v>
      </c>
      <c r="D34" s="9" t="s">
        <v>100</v>
      </c>
      <c r="E34" s="18" t="s">
        <v>111</v>
      </c>
      <c r="F34" s="85">
        <v>19152196</v>
      </c>
      <c r="G34" s="89">
        <f t="shared" si="2"/>
        <v>2311</v>
      </c>
    </row>
    <row r="35" spans="1:7">
      <c r="A35" s="10">
        <f t="shared" si="0"/>
        <v>29</v>
      </c>
      <c r="B35" s="9" t="s">
        <v>109</v>
      </c>
      <c r="C35" s="9" t="s">
        <v>5</v>
      </c>
      <c r="D35" s="9" t="s">
        <v>100</v>
      </c>
      <c r="E35" s="18" t="s">
        <v>110</v>
      </c>
      <c r="F35" s="85">
        <v>19152193</v>
      </c>
      <c r="G35" s="89">
        <f t="shared" si="2"/>
        <v>2311</v>
      </c>
    </row>
    <row r="36" spans="1:7">
      <c r="A36" s="10">
        <f t="shared" si="0"/>
        <v>30</v>
      </c>
      <c r="B36" s="9" t="s">
        <v>109</v>
      </c>
      <c r="C36" s="9" t="s">
        <v>2</v>
      </c>
      <c r="D36" s="9" t="s">
        <v>100</v>
      </c>
      <c r="E36" s="18" t="s">
        <v>108</v>
      </c>
      <c r="F36" s="85">
        <v>19152194</v>
      </c>
      <c r="G36" s="89">
        <f t="shared" si="2"/>
        <v>2311</v>
      </c>
    </row>
    <row r="37" spans="1:7">
      <c r="A37" s="10">
        <f t="shared" si="0"/>
        <v>31</v>
      </c>
      <c r="B37" s="9" t="s">
        <v>105</v>
      </c>
      <c r="C37" s="9" t="s">
        <v>7</v>
      </c>
      <c r="D37" s="9" t="s">
        <v>100</v>
      </c>
      <c r="E37" s="18" t="s">
        <v>107</v>
      </c>
      <c r="F37" s="85">
        <v>19152158</v>
      </c>
      <c r="G37" s="89">
        <f t="shared" si="2"/>
        <v>2311</v>
      </c>
    </row>
    <row r="38" spans="1:7" ht="18.75" thickBot="1">
      <c r="A38" s="63">
        <f t="shared" si="0"/>
        <v>32</v>
      </c>
      <c r="B38" s="64" t="s">
        <v>105</v>
      </c>
      <c r="C38" s="64" t="s">
        <v>5</v>
      </c>
      <c r="D38" s="64" t="s">
        <v>100</v>
      </c>
      <c r="E38" s="65" t="s">
        <v>106</v>
      </c>
      <c r="F38" s="86">
        <v>19152159</v>
      </c>
      <c r="G38" s="89">
        <f t="shared" si="2"/>
        <v>2311</v>
      </c>
    </row>
    <row r="39" spans="1:7">
      <c r="A39" s="8">
        <f t="shared" si="0"/>
        <v>33</v>
      </c>
      <c r="B39" s="7" t="s">
        <v>105</v>
      </c>
      <c r="C39" s="7" t="s">
        <v>2</v>
      </c>
      <c r="D39" s="7" t="s">
        <v>100</v>
      </c>
      <c r="E39" s="62" t="s">
        <v>104</v>
      </c>
      <c r="F39" s="84">
        <v>19152160</v>
      </c>
      <c r="G39" s="89">
        <f t="shared" si="2"/>
        <v>2311</v>
      </c>
    </row>
    <row r="40" spans="1:7" ht="36">
      <c r="A40" s="10">
        <f t="shared" si="0"/>
        <v>34</v>
      </c>
      <c r="B40" s="9" t="s">
        <v>101</v>
      </c>
      <c r="C40" s="9" t="s">
        <v>7</v>
      </c>
      <c r="D40" s="9" t="s">
        <v>100</v>
      </c>
      <c r="E40" s="17" t="s">
        <v>103</v>
      </c>
      <c r="F40" s="85">
        <v>19152171</v>
      </c>
      <c r="G40" s="89">
        <f t="shared" si="2"/>
        <v>2311</v>
      </c>
    </row>
    <row r="41" spans="1:7">
      <c r="A41" s="10">
        <f t="shared" si="0"/>
        <v>35</v>
      </c>
      <c r="B41" s="9" t="s">
        <v>101</v>
      </c>
      <c r="C41" s="9" t="s">
        <v>5</v>
      </c>
      <c r="D41" s="9" t="s">
        <v>100</v>
      </c>
      <c r="E41" s="18" t="s">
        <v>102</v>
      </c>
      <c r="F41" s="85">
        <v>19152195</v>
      </c>
      <c r="G41" s="89">
        <f t="shared" si="2"/>
        <v>2311</v>
      </c>
    </row>
    <row r="42" spans="1:7">
      <c r="A42" s="10">
        <f t="shared" si="0"/>
        <v>36</v>
      </c>
      <c r="B42" s="9" t="s">
        <v>101</v>
      </c>
      <c r="C42" s="9" t="s">
        <v>2</v>
      </c>
      <c r="D42" s="9" t="s">
        <v>100</v>
      </c>
      <c r="E42" s="18" t="s">
        <v>99</v>
      </c>
      <c r="F42" s="85">
        <v>19152157</v>
      </c>
      <c r="G42" s="89">
        <f t="shared" si="2"/>
        <v>2311</v>
      </c>
    </row>
    <row r="43" spans="1:7" ht="36">
      <c r="A43" s="10">
        <f t="shared" si="0"/>
        <v>37</v>
      </c>
      <c r="B43" s="9" t="s">
        <v>97</v>
      </c>
      <c r="C43" s="9" t="s">
        <v>7</v>
      </c>
      <c r="D43" s="9" t="s">
        <v>1</v>
      </c>
      <c r="E43" s="17" t="s">
        <v>20</v>
      </c>
      <c r="F43" s="85">
        <v>19152022</v>
      </c>
      <c r="G43" s="89">
        <f>1117+357</f>
        <v>1474</v>
      </c>
    </row>
    <row r="44" spans="1:7">
      <c r="A44" s="10">
        <f t="shared" si="0"/>
        <v>38</v>
      </c>
      <c r="B44" s="9" t="s">
        <v>97</v>
      </c>
      <c r="C44" s="9" t="s">
        <v>5</v>
      </c>
      <c r="D44" s="9" t="s">
        <v>1</v>
      </c>
      <c r="E44" s="18" t="s">
        <v>98</v>
      </c>
      <c r="F44" s="85">
        <v>19152221</v>
      </c>
      <c r="G44" s="89">
        <f t="shared" ref="G44:G107" si="3">1117+357</f>
        <v>1474</v>
      </c>
    </row>
    <row r="45" spans="1:7">
      <c r="A45" s="10">
        <f t="shared" si="0"/>
        <v>39</v>
      </c>
      <c r="B45" s="9" t="s">
        <v>97</v>
      </c>
      <c r="C45" s="9" t="s">
        <v>2</v>
      </c>
      <c r="D45" s="9" t="s">
        <v>1</v>
      </c>
      <c r="E45" s="18" t="s">
        <v>96</v>
      </c>
      <c r="F45" s="85">
        <v>22102860</v>
      </c>
      <c r="G45" s="89">
        <f t="shared" si="3"/>
        <v>1474</v>
      </c>
    </row>
    <row r="46" spans="1:7">
      <c r="A46" s="10">
        <f t="shared" si="0"/>
        <v>40</v>
      </c>
      <c r="B46" s="9" t="s">
        <v>93</v>
      </c>
      <c r="C46" s="9" t="s">
        <v>7</v>
      </c>
      <c r="D46" s="9" t="s">
        <v>1</v>
      </c>
      <c r="E46" s="18" t="s">
        <v>95</v>
      </c>
      <c r="F46" s="85">
        <v>19151950</v>
      </c>
      <c r="G46" s="89">
        <f t="shared" si="3"/>
        <v>1474</v>
      </c>
    </row>
    <row r="47" spans="1:7">
      <c r="A47" s="10">
        <f t="shared" si="0"/>
        <v>41</v>
      </c>
      <c r="B47" s="9" t="s">
        <v>93</v>
      </c>
      <c r="C47" s="9" t="s">
        <v>5</v>
      </c>
      <c r="D47" s="9" t="s">
        <v>1</v>
      </c>
      <c r="E47" s="18" t="s">
        <v>94</v>
      </c>
      <c r="F47" s="85">
        <v>21082126</v>
      </c>
      <c r="G47" s="89">
        <f t="shared" si="3"/>
        <v>1474</v>
      </c>
    </row>
    <row r="48" spans="1:7" ht="36">
      <c r="A48" s="10">
        <f t="shared" si="0"/>
        <v>42</v>
      </c>
      <c r="B48" s="9" t="s">
        <v>93</v>
      </c>
      <c r="C48" s="9" t="s">
        <v>2</v>
      </c>
      <c r="D48" s="9" t="s">
        <v>1</v>
      </c>
      <c r="E48" s="17" t="s">
        <v>20</v>
      </c>
      <c r="F48" s="85">
        <v>19151950</v>
      </c>
      <c r="G48" s="89">
        <f t="shared" si="3"/>
        <v>1474</v>
      </c>
    </row>
    <row r="49" spans="1:7" ht="36">
      <c r="A49" s="10">
        <f t="shared" si="0"/>
        <v>43</v>
      </c>
      <c r="B49" s="9" t="s">
        <v>91</v>
      </c>
      <c r="C49" s="9" t="s">
        <v>7</v>
      </c>
      <c r="D49" s="9" t="s">
        <v>1</v>
      </c>
      <c r="E49" s="17" t="s">
        <v>20</v>
      </c>
      <c r="F49" s="85">
        <v>19152248</v>
      </c>
      <c r="G49" s="89">
        <f t="shared" si="3"/>
        <v>1474</v>
      </c>
    </row>
    <row r="50" spans="1:7">
      <c r="A50" s="10">
        <f t="shared" si="0"/>
        <v>44</v>
      </c>
      <c r="B50" s="9" t="s">
        <v>91</v>
      </c>
      <c r="C50" s="9" t="s">
        <v>5</v>
      </c>
      <c r="D50" s="9" t="s">
        <v>1</v>
      </c>
      <c r="E50" s="18" t="s">
        <v>92</v>
      </c>
      <c r="F50" s="85">
        <v>19152248</v>
      </c>
      <c r="G50" s="89">
        <f t="shared" si="3"/>
        <v>1474</v>
      </c>
    </row>
    <row r="51" spans="1:7">
      <c r="A51" s="10">
        <f t="shared" si="0"/>
        <v>45</v>
      </c>
      <c r="B51" s="9" t="s">
        <v>91</v>
      </c>
      <c r="C51" s="9" t="s">
        <v>2</v>
      </c>
      <c r="D51" s="9" t="s">
        <v>1</v>
      </c>
      <c r="E51" s="18" t="s">
        <v>90</v>
      </c>
      <c r="F51" s="85">
        <v>19152248</v>
      </c>
      <c r="G51" s="89">
        <f t="shared" si="3"/>
        <v>1474</v>
      </c>
    </row>
    <row r="52" spans="1:7" ht="36">
      <c r="A52" s="10">
        <f t="shared" si="0"/>
        <v>46</v>
      </c>
      <c r="B52" s="9" t="s">
        <v>88</v>
      </c>
      <c r="C52" s="9" t="s">
        <v>7</v>
      </c>
      <c r="D52" s="9" t="s">
        <v>1</v>
      </c>
      <c r="E52" s="17" t="s">
        <v>20</v>
      </c>
      <c r="F52" s="85">
        <v>19152170</v>
      </c>
      <c r="G52" s="89">
        <f t="shared" si="3"/>
        <v>1474</v>
      </c>
    </row>
    <row r="53" spans="1:7">
      <c r="A53" s="10">
        <f t="shared" si="0"/>
        <v>47</v>
      </c>
      <c r="B53" s="9" t="s">
        <v>88</v>
      </c>
      <c r="C53" s="9" t="s">
        <v>5</v>
      </c>
      <c r="D53" s="9" t="s">
        <v>1</v>
      </c>
      <c r="E53" s="18" t="s">
        <v>89</v>
      </c>
      <c r="F53" s="85">
        <v>19152170</v>
      </c>
      <c r="G53" s="89">
        <f t="shared" si="3"/>
        <v>1474</v>
      </c>
    </row>
    <row r="54" spans="1:7">
      <c r="A54" s="10">
        <f t="shared" si="0"/>
        <v>48</v>
      </c>
      <c r="B54" s="9" t="s">
        <v>88</v>
      </c>
      <c r="C54" s="9" t="s">
        <v>2</v>
      </c>
      <c r="D54" s="9" t="s">
        <v>1</v>
      </c>
      <c r="E54" s="18" t="s">
        <v>82</v>
      </c>
      <c r="F54" s="85">
        <v>19152170</v>
      </c>
      <c r="G54" s="89">
        <f t="shared" si="3"/>
        <v>1474</v>
      </c>
    </row>
    <row r="55" spans="1:7">
      <c r="A55" s="10">
        <f t="shared" si="0"/>
        <v>49</v>
      </c>
      <c r="B55" s="9" t="s">
        <v>85</v>
      </c>
      <c r="C55" s="9" t="s">
        <v>7</v>
      </c>
      <c r="D55" s="9" t="s">
        <v>1</v>
      </c>
      <c r="E55" s="18" t="s">
        <v>87</v>
      </c>
      <c r="F55" s="85">
        <v>22102735</v>
      </c>
      <c r="G55" s="89">
        <f t="shared" si="3"/>
        <v>1474</v>
      </c>
    </row>
    <row r="56" spans="1:7">
      <c r="A56" s="10">
        <f t="shared" si="0"/>
        <v>50</v>
      </c>
      <c r="B56" s="9" t="s">
        <v>85</v>
      </c>
      <c r="C56" s="9" t="s">
        <v>5</v>
      </c>
      <c r="D56" s="9" t="s">
        <v>1</v>
      </c>
      <c r="E56" s="18" t="s">
        <v>86</v>
      </c>
      <c r="F56" s="85">
        <v>22102733</v>
      </c>
      <c r="G56" s="89">
        <f t="shared" si="3"/>
        <v>1474</v>
      </c>
    </row>
    <row r="57" spans="1:7">
      <c r="A57" s="10">
        <f t="shared" si="0"/>
        <v>51</v>
      </c>
      <c r="B57" s="9" t="s">
        <v>85</v>
      </c>
      <c r="C57" s="9" t="s">
        <v>2</v>
      </c>
      <c r="D57" s="9" t="s">
        <v>1</v>
      </c>
      <c r="E57" s="18" t="s">
        <v>84</v>
      </c>
      <c r="F57" s="85">
        <v>19152140</v>
      </c>
      <c r="G57" s="89">
        <f t="shared" si="3"/>
        <v>1474</v>
      </c>
    </row>
    <row r="58" spans="1:7">
      <c r="A58" s="10">
        <f t="shared" si="0"/>
        <v>52</v>
      </c>
      <c r="B58" s="9" t="s">
        <v>81</v>
      </c>
      <c r="C58" s="9" t="s">
        <v>7</v>
      </c>
      <c r="D58" s="9" t="s">
        <v>1</v>
      </c>
      <c r="E58" s="18" t="s">
        <v>83</v>
      </c>
      <c r="F58" s="85">
        <v>19152192</v>
      </c>
      <c r="G58" s="89">
        <f t="shared" si="3"/>
        <v>1474</v>
      </c>
    </row>
    <row r="59" spans="1:7">
      <c r="A59" s="10">
        <f t="shared" si="0"/>
        <v>53</v>
      </c>
      <c r="B59" s="9" t="s">
        <v>81</v>
      </c>
      <c r="C59" s="9" t="s">
        <v>5</v>
      </c>
      <c r="D59" s="9" t="s">
        <v>1</v>
      </c>
      <c r="E59" s="18" t="s">
        <v>82</v>
      </c>
      <c r="F59" s="85">
        <v>22102732</v>
      </c>
      <c r="G59" s="89">
        <f t="shared" si="3"/>
        <v>1474</v>
      </c>
    </row>
    <row r="60" spans="1:7">
      <c r="A60" s="10">
        <f t="shared" si="0"/>
        <v>54</v>
      </c>
      <c r="B60" s="9" t="s">
        <v>81</v>
      </c>
      <c r="C60" s="9" t="s">
        <v>2</v>
      </c>
      <c r="D60" s="9" t="s">
        <v>1</v>
      </c>
      <c r="E60" s="18" t="s">
        <v>80</v>
      </c>
      <c r="F60" s="85">
        <v>19152138</v>
      </c>
      <c r="G60" s="89">
        <f t="shared" si="3"/>
        <v>1474</v>
      </c>
    </row>
    <row r="61" spans="1:7">
      <c r="A61" s="10">
        <f t="shared" si="0"/>
        <v>55</v>
      </c>
      <c r="B61" s="9" t="s">
        <v>77</v>
      </c>
      <c r="C61" s="9" t="s">
        <v>7</v>
      </c>
      <c r="D61" s="9" t="s">
        <v>1</v>
      </c>
      <c r="E61" s="18" t="s">
        <v>79</v>
      </c>
      <c r="F61" s="85">
        <v>19152165</v>
      </c>
      <c r="G61" s="89">
        <f t="shared" si="3"/>
        <v>1474</v>
      </c>
    </row>
    <row r="62" spans="1:7">
      <c r="A62" s="10">
        <f t="shared" si="0"/>
        <v>56</v>
      </c>
      <c r="B62" s="9" t="s">
        <v>77</v>
      </c>
      <c r="C62" s="9" t="s">
        <v>5</v>
      </c>
      <c r="D62" s="9" t="s">
        <v>1</v>
      </c>
      <c r="E62" s="18" t="s">
        <v>78</v>
      </c>
      <c r="F62" s="85">
        <v>19152165</v>
      </c>
      <c r="G62" s="89">
        <f t="shared" si="3"/>
        <v>1474</v>
      </c>
    </row>
    <row r="63" spans="1:7">
      <c r="A63" s="10">
        <f t="shared" si="0"/>
        <v>57</v>
      </c>
      <c r="B63" s="9" t="s">
        <v>77</v>
      </c>
      <c r="C63" s="9" t="s">
        <v>2</v>
      </c>
      <c r="D63" s="9" t="s">
        <v>1</v>
      </c>
      <c r="E63" s="18" t="s">
        <v>76</v>
      </c>
      <c r="F63" s="85">
        <v>19152165</v>
      </c>
      <c r="G63" s="89">
        <f t="shared" si="3"/>
        <v>1474</v>
      </c>
    </row>
    <row r="64" spans="1:7">
      <c r="A64" s="10">
        <f t="shared" si="0"/>
        <v>58</v>
      </c>
      <c r="B64" s="9" t="s">
        <v>73</v>
      </c>
      <c r="C64" s="9" t="s">
        <v>7</v>
      </c>
      <c r="D64" s="9" t="s">
        <v>1</v>
      </c>
      <c r="E64" s="18" t="s">
        <v>75</v>
      </c>
      <c r="F64" s="85">
        <v>19152143</v>
      </c>
      <c r="G64" s="89">
        <f t="shared" si="3"/>
        <v>1474</v>
      </c>
    </row>
    <row r="65" spans="1:7">
      <c r="A65" s="10">
        <f t="shared" si="0"/>
        <v>59</v>
      </c>
      <c r="B65" s="9" t="s">
        <v>73</v>
      </c>
      <c r="C65" s="9" t="s">
        <v>5</v>
      </c>
      <c r="D65" s="9" t="s">
        <v>1</v>
      </c>
      <c r="E65" s="18" t="s">
        <v>74</v>
      </c>
      <c r="F65" s="85">
        <v>19152139</v>
      </c>
      <c r="G65" s="89">
        <f t="shared" si="3"/>
        <v>1474</v>
      </c>
    </row>
    <row r="66" spans="1:7">
      <c r="A66" s="10">
        <f t="shared" si="0"/>
        <v>60</v>
      </c>
      <c r="B66" s="9" t="s">
        <v>73</v>
      </c>
      <c r="C66" s="9" t="s">
        <v>2</v>
      </c>
      <c r="D66" s="9" t="s">
        <v>1</v>
      </c>
      <c r="E66" s="18" t="s">
        <v>72</v>
      </c>
      <c r="F66" s="85">
        <v>19152167</v>
      </c>
      <c r="G66" s="89">
        <f t="shared" si="3"/>
        <v>1474</v>
      </c>
    </row>
    <row r="67" spans="1:7">
      <c r="A67" s="10">
        <f t="shared" si="0"/>
        <v>61</v>
      </c>
      <c r="B67" s="9" t="s">
        <v>69</v>
      </c>
      <c r="C67" s="9" t="s">
        <v>7</v>
      </c>
      <c r="D67" s="9" t="s">
        <v>1</v>
      </c>
      <c r="E67" s="18" t="s">
        <v>71</v>
      </c>
      <c r="F67" s="85">
        <v>19152144</v>
      </c>
      <c r="G67" s="89">
        <f t="shared" si="3"/>
        <v>1474</v>
      </c>
    </row>
    <row r="68" spans="1:7">
      <c r="A68" s="10">
        <f t="shared" si="0"/>
        <v>62</v>
      </c>
      <c r="B68" s="11" t="s">
        <v>69</v>
      </c>
      <c r="C68" s="11" t="s">
        <v>5</v>
      </c>
      <c r="D68" s="9" t="s">
        <v>1</v>
      </c>
      <c r="E68" s="18" t="s">
        <v>70</v>
      </c>
      <c r="F68" s="85">
        <v>19152144</v>
      </c>
      <c r="G68" s="89">
        <f t="shared" si="3"/>
        <v>1474</v>
      </c>
    </row>
    <row r="69" spans="1:7">
      <c r="A69" s="10">
        <f t="shared" si="0"/>
        <v>63</v>
      </c>
      <c r="B69" s="9" t="s">
        <v>69</v>
      </c>
      <c r="C69" s="9" t="s">
        <v>2</v>
      </c>
      <c r="D69" s="9" t="s">
        <v>1</v>
      </c>
      <c r="E69" s="18" t="s">
        <v>68</v>
      </c>
      <c r="F69" s="85">
        <v>19152144</v>
      </c>
      <c r="G69" s="89">
        <f t="shared" si="3"/>
        <v>1474</v>
      </c>
    </row>
    <row r="70" spans="1:7">
      <c r="A70" s="10">
        <f t="shared" si="0"/>
        <v>64</v>
      </c>
      <c r="B70" s="9" t="s">
        <v>65</v>
      </c>
      <c r="C70" s="9" t="s">
        <v>7</v>
      </c>
      <c r="D70" s="9" t="s">
        <v>1</v>
      </c>
      <c r="E70" s="18" t="s">
        <v>67</v>
      </c>
      <c r="F70" s="85">
        <v>19152142</v>
      </c>
      <c r="G70" s="89">
        <f t="shared" si="3"/>
        <v>1474</v>
      </c>
    </row>
    <row r="71" spans="1:7">
      <c r="A71" s="10">
        <f t="shared" si="0"/>
        <v>65</v>
      </c>
      <c r="B71" s="9" t="s">
        <v>65</v>
      </c>
      <c r="C71" s="9" t="s">
        <v>5</v>
      </c>
      <c r="D71" s="9" t="s">
        <v>1</v>
      </c>
      <c r="E71" s="18" t="s">
        <v>66</v>
      </c>
      <c r="F71" s="85">
        <v>22102730</v>
      </c>
      <c r="G71" s="89">
        <f t="shared" si="3"/>
        <v>1474</v>
      </c>
    </row>
    <row r="72" spans="1:7" ht="36">
      <c r="A72" s="10">
        <f t="shared" ref="A72:A126" si="4">A71+1</f>
        <v>66</v>
      </c>
      <c r="B72" s="9" t="s">
        <v>65</v>
      </c>
      <c r="C72" s="9" t="s">
        <v>2</v>
      </c>
      <c r="D72" s="9" t="s">
        <v>1</v>
      </c>
      <c r="E72" s="17" t="s">
        <v>64</v>
      </c>
      <c r="F72" s="85">
        <v>22102734</v>
      </c>
      <c r="G72" s="89">
        <f t="shared" si="3"/>
        <v>1474</v>
      </c>
    </row>
    <row r="73" spans="1:7">
      <c r="A73" s="10">
        <f t="shared" si="4"/>
        <v>67</v>
      </c>
      <c r="B73" s="9" t="s">
        <v>61</v>
      </c>
      <c r="C73" s="9" t="s">
        <v>7</v>
      </c>
      <c r="D73" s="9" t="s">
        <v>1</v>
      </c>
      <c r="E73" s="16" t="s">
        <v>63</v>
      </c>
      <c r="F73" s="85">
        <v>20054611</v>
      </c>
      <c r="G73" s="89">
        <f t="shared" si="3"/>
        <v>1474</v>
      </c>
    </row>
    <row r="74" spans="1:7">
      <c r="A74" s="10">
        <f t="shared" si="4"/>
        <v>68</v>
      </c>
      <c r="B74" s="9" t="s">
        <v>61</v>
      </c>
      <c r="C74" s="9" t="s">
        <v>5</v>
      </c>
      <c r="D74" s="9" t="s">
        <v>1</v>
      </c>
      <c r="E74" s="16" t="s">
        <v>62</v>
      </c>
      <c r="F74" s="85">
        <v>20054607</v>
      </c>
      <c r="G74" s="89">
        <f t="shared" si="3"/>
        <v>1474</v>
      </c>
    </row>
    <row r="75" spans="1:7">
      <c r="A75" s="10">
        <f t="shared" si="4"/>
        <v>69</v>
      </c>
      <c r="B75" s="9" t="s">
        <v>61</v>
      </c>
      <c r="C75" s="9" t="s">
        <v>2</v>
      </c>
      <c r="D75" s="9" t="s">
        <v>1</v>
      </c>
      <c r="E75" s="16" t="s">
        <v>60</v>
      </c>
      <c r="F75" s="85">
        <v>20054603</v>
      </c>
      <c r="G75" s="89">
        <f t="shared" si="3"/>
        <v>1474</v>
      </c>
    </row>
    <row r="76" spans="1:7" ht="36">
      <c r="A76" s="10">
        <f t="shared" si="4"/>
        <v>70</v>
      </c>
      <c r="B76" s="9" t="s">
        <v>57</v>
      </c>
      <c r="C76" s="9" t="s">
        <v>7</v>
      </c>
      <c r="D76" s="9" t="s">
        <v>1</v>
      </c>
      <c r="E76" s="16" t="s">
        <v>59</v>
      </c>
      <c r="F76" s="85">
        <v>19152177</v>
      </c>
      <c r="G76" s="89">
        <f t="shared" si="3"/>
        <v>1474</v>
      </c>
    </row>
    <row r="77" spans="1:7">
      <c r="A77" s="10">
        <f t="shared" si="4"/>
        <v>71</v>
      </c>
      <c r="B77" s="9" t="s">
        <v>57</v>
      </c>
      <c r="C77" s="9" t="s">
        <v>5</v>
      </c>
      <c r="D77" s="9" t="s">
        <v>1</v>
      </c>
      <c r="E77" s="16" t="s">
        <v>58</v>
      </c>
      <c r="F77" s="85">
        <v>19152177</v>
      </c>
      <c r="G77" s="89">
        <f t="shared" si="3"/>
        <v>1474</v>
      </c>
    </row>
    <row r="78" spans="1:7" ht="18.75" thickBot="1">
      <c r="A78" s="63">
        <f t="shared" si="4"/>
        <v>72</v>
      </c>
      <c r="B78" s="64" t="s">
        <v>57</v>
      </c>
      <c r="C78" s="64" t="s">
        <v>2</v>
      </c>
      <c r="D78" s="64" t="s">
        <v>1</v>
      </c>
      <c r="E78" s="66" t="s">
        <v>56</v>
      </c>
      <c r="F78" s="86">
        <v>19152177</v>
      </c>
      <c r="G78" s="89">
        <f t="shared" si="3"/>
        <v>1474</v>
      </c>
    </row>
    <row r="79" spans="1:7" ht="72">
      <c r="A79" s="8">
        <f t="shared" si="4"/>
        <v>73</v>
      </c>
      <c r="B79" s="7" t="s">
        <v>53</v>
      </c>
      <c r="C79" s="7" t="s">
        <v>7</v>
      </c>
      <c r="D79" s="7" t="s">
        <v>1</v>
      </c>
      <c r="E79" s="60" t="s">
        <v>55</v>
      </c>
      <c r="F79" s="84">
        <v>19152229</v>
      </c>
      <c r="G79" s="89">
        <f t="shared" si="3"/>
        <v>1474</v>
      </c>
    </row>
    <row r="80" spans="1:7">
      <c r="A80" s="10">
        <f t="shared" si="4"/>
        <v>74</v>
      </c>
      <c r="B80" s="9" t="s">
        <v>53</v>
      </c>
      <c r="C80" s="9" t="s">
        <v>5</v>
      </c>
      <c r="D80" s="9" t="s">
        <v>1</v>
      </c>
      <c r="E80" s="16" t="s">
        <v>54</v>
      </c>
      <c r="F80" s="85">
        <v>19152229</v>
      </c>
      <c r="G80" s="89">
        <f t="shared" si="3"/>
        <v>1474</v>
      </c>
    </row>
    <row r="81" spans="1:7">
      <c r="A81" s="10">
        <f t="shared" si="4"/>
        <v>75</v>
      </c>
      <c r="B81" s="9" t="s">
        <v>53</v>
      </c>
      <c r="C81" s="9" t="s">
        <v>2</v>
      </c>
      <c r="D81" s="9" t="s">
        <v>1</v>
      </c>
      <c r="E81" s="16" t="s">
        <v>52</v>
      </c>
      <c r="F81" s="85">
        <v>19152229</v>
      </c>
      <c r="G81" s="89">
        <f t="shared" si="3"/>
        <v>1474</v>
      </c>
    </row>
    <row r="82" spans="1:7" ht="36">
      <c r="A82" s="10">
        <f t="shared" si="4"/>
        <v>76</v>
      </c>
      <c r="B82" s="9" t="s">
        <v>50</v>
      </c>
      <c r="C82" s="9" t="s">
        <v>7</v>
      </c>
      <c r="D82" s="9" t="s">
        <v>1</v>
      </c>
      <c r="E82" s="16" t="s">
        <v>20</v>
      </c>
      <c r="F82" s="85">
        <v>19151878</v>
      </c>
      <c r="G82" s="89">
        <f t="shared" si="3"/>
        <v>1474</v>
      </c>
    </row>
    <row r="83" spans="1:7" ht="36">
      <c r="A83" s="10">
        <f t="shared" si="4"/>
        <v>77</v>
      </c>
      <c r="B83" s="9" t="s">
        <v>50</v>
      </c>
      <c r="C83" s="9" t="s">
        <v>5</v>
      </c>
      <c r="D83" s="9" t="s">
        <v>1</v>
      </c>
      <c r="E83" s="16" t="s">
        <v>51</v>
      </c>
      <c r="F83" s="85">
        <v>19151878</v>
      </c>
      <c r="G83" s="89">
        <f t="shared" si="3"/>
        <v>1474</v>
      </c>
    </row>
    <row r="84" spans="1:7" ht="36">
      <c r="A84" s="10">
        <f t="shared" si="4"/>
        <v>78</v>
      </c>
      <c r="B84" s="9" t="s">
        <v>50</v>
      </c>
      <c r="C84" s="9" t="s">
        <v>2</v>
      </c>
      <c r="D84" s="9" t="s">
        <v>1</v>
      </c>
      <c r="E84" s="16" t="s">
        <v>20</v>
      </c>
      <c r="F84" s="85">
        <v>19151878</v>
      </c>
      <c r="G84" s="89">
        <f t="shared" si="3"/>
        <v>1474</v>
      </c>
    </row>
    <row r="85" spans="1:7" ht="54">
      <c r="A85" s="10">
        <f t="shared" si="4"/>
        <v>79</v>
      </c>
      <c r="B85" s="9" t="s">
        <v>48</v>
      </c>
      <c r="C85" s="9" t="s">
        <v>7</v>
      </c>
      <c r="D85" s="9" t="s">
        <v>1</v>
      </c>
      <c r="E85" s="16" t="s">
        <v>49</v>
      </c>
      <c r="F85" s="85">
        <v>19152155</v>
      </c>
      <c r="G85" s="89">
        <f t="shared" si="3"/>
        <v>1474</v>
      </c>
    </row>
    <row r="86" spans="1:7" ht="36">
      <c r="A86" s="10">
        <f t="shared" si="4"/>
        <v>80</v>
      </c>
      <c r="B86" s="9" t="s">
        <v>48</v>
      </c>
      <c r="C86" s="9" t="s">
        <v>5</v>
      </c>
      <c r="D86" s="9" t="s">
        <v>1</v>
      </c>
      <c r="E86" s="16" t="s">
        <v>20</v>
      </c>
      <c r="F86" s="85">
        <v>19152155</v>
      </c>
      <c r="G86" s="89">
        <f t="shared" si="3"/>
        <v>1474</v>
      </c>
    </row>
    <row r="87" spans="1:7" ht="36">
      <c r="A87" s="10">
        <f t="shared" si="4"/>
        <v>81</v>
      </c>
      <c r="B87" s="9" t="s">
        <v>48</v>
      </c>
      <c r="C87" s="9" t="s">
        <v>2</v>
      </c>
      <c r="D87" s="9" t="s">
        <v>1</v>
      </c>
      <c r="E87" s="16" t="s">
        <v>20</v>
      </c>
      <c r="F87" s="85">
        <v>19152155</v>
      </c>
      <c r="G87" s="89">
        <f t="shared" si="3"/>
        <v>1474</v>
      </c>
    </row>
    <row r="88" spans="1:7" ht="72">
      <c r="A88" s="10">
        <f t="shared" si="4"/>
        <v>82</v>
      </c>
      <c r="B88" s="9" t="s">
        <v>45</v>
      </c>
      <c r="C88" s="9" t="s">
        <v>7</v>
      </c>
      <c r="D88" s="9" t="s">
        <v>1</v>
      </c>
      <c r="E88" s="16" t="s">
        <v>47</v>
      </c>
      <c r="F88" s="85">
        <v>20054602</v>
      </c>
      <c r="G88" s="89">
        <f t="shared" si="3"/>
        <v>1474</v>
      </c>
    </row>
    <row r="89" spans="1:7">
      <c r="A89" s="10">
        <f t="shared" si="4"/>
        <v>83</v>
      </c>
      <c r="B89" s="9" t="s">
        <v>45</v>
      </c>
      <c r="C89" s="9" t="s">
        <v>5</v>
      </c>
      <c r="D89" s="9" t="s">
        <v>1</v>
      </c>
      <c r="E89" s="16" t="s">
        <v>46</v>
      </c>
      <c r="F89" s="85">
        <v>19152232</v>
      </c>
      <c r="G89" s="89">
        <f t="shared" si="3"/>
        <v>1474</v>
      </c>
    </row>
    <row r="90" spans="1:7" ht="36">
      <c r="A90" s="10">
        <f t="shared" si="4"/>
        <v>84</v>
      </c>
      <c r="B90" s="9" t="s">
        <v>45</v>
      </c>
      <c r="C90" s="9" t="s">
        <v>2</v>
      </c>
      <c r="D90" s="9" t="s">
        <v>1</v>
      </c>
      <c r="E90" s="16" t="s">
        <v>20</v>
      </c>
      <c r="F90" s="85">
        <v>20054605</v>
      </c>
      <c r="G90" s="89">
        <f t="shared" si="3"/>
        <v>1474</v>
      </c>
    </row>
    <row r="91" spans="1:7" ht="36">
      <c r="A91" s="10">
        <f t="shared" si="4"/>
        <v>85</v>
      </c>
      <c r="B91" s="9" t="s">
        <v>42</v>
      </c>
      <c r="C91" s="9" t="s">
        <v>7</v>
      </c>
      <c r="D91" s="9" t="s">
        <v>1</v>
      </c>
      <c r="E91" s="16" t="s">
        <v>44</v>
      </c>
      <c r="F91" s="85">
        <v>24197359</v>
      </c>
      <c r="G91" s="89">
        <f t="shared" si="3"/>
        <v>1474</v>
      </c>
    </row>
    <row r="92" spans="1:7" ht="36">
      <c r="A92" s="10">
        <f t="shared" si="4"/>
        <v>86</v>
      </c>
      <c r="B92" s="9" t="s">
        <v>42</v>
      </c>
      <c r="C92" s="9" t="s">
        <v>5</v>
      </c>
      <c r="D92" s="9" t="s">
        <v>1</v>
      </c>
      <c r="E92" s="16" t="s">
        <v>43</v>
      </c>
      <c r="F92" s="85">
        <v>24195893</v>
      </c>
      <c r="G92" s="89">
        <f t="shared" si="3"/>
        <v>1474</v>
      </c>
    </row>
    <row r="93" spans="1:7">
      <c r="A93" s="10">
        <f t="shared" si="4"/>
        <v>87</v>
      </c>
      <c r="B93" s="9" t="s">
        <v>42</v>
      </c>
      <c r="C93" s="9" t="s">
        <v>2</v>
      </c>
      <c r="D93" s="9" t="s">
        <v>1</v>
      </c>
      <c r="E93" s="16" t="s">
        <v>41</v>
      </c>
      <c r="F93" s="85">
        <v>20054609</v>
      </c>
      <c r="G93" s="89">
        <f t="shared" si="3"/>
        <v>1474</v>
      </c>
    </row>
    <row r="94" spans="1:7">
      <c r="A94" s="10">
        <f t="shared" si="4"/>
        <v>88</v>
      </c>
      <c r="B94" s="9" t="s">
        <v>38</v>
      </c>
      <c r="C94" s="9" t="s">
        <v>7</v>
      </c>
      <c r="D94" s="9" t="s">
        <v>1</v>
      </c>
      <c r="E94" s="16" t="s">
        <v>40</v>
      </c>
      <c r="F94" s="85">
        <v>22102737</v>
      </c>
      <c r="G94" s="89">
        <f t="shared" si="3"/>
        <v>1474</v>
      </c>
    </row>
    <row r="95" spans="1:7" ht="36">
      <c r="A95" s="10">
        <f t="shared" si="4"/>
        <v>89</v>
      </c>
      <c r="B95" s="9" t="s">
        <v>38</v>
      </c>
      <c r="C95" s="9" t="s">
        <v>5</v>
      </c>
      <c r="D95" s="9" t="s">
        <v>1</v>
      </c>
      <c r="E95" s="16" t="s">
        <v>39</v>
      </c>
      <c r="F95" s="85">
        <v>22102738</v>
      </c>
      <c r="G95" s="89">
        <f t="shared" si="3"/>
        <v>1474</v>
      </c>
    </row>
    <row r="96" spans="1:7">
      <c r="A96" s="10">
        <f t="shared" si="4"/>
        <v>90</v>
      </c>
      <c r="B96" s="9" t="s">
        <v>38</v>
      </c>
      <c r="C96" s="9" t="s">
        <v>2</v>
      </c>
      <c r="D96" s="9" t="s">
        <v>1</v>
      </c>
      <c r="E96" s="16" t="s">
        <v>32</v>
      </c>
      <c r="F96" s="85">
        <v>22102731</v>
      </c>
      <c r="G96" s="89">
        <f t="shared" si="3"/>
        <v>1474</v>
      </c>
    </row>
    <row r="97" spans="1:7" ht="54">
      <c r="A97" s="10">
        <f t="shared" si="4"/>
        <v>91</v>
      </c>
      <c r="B97" s="9" t="s">
        <v>36</v>
      </c>
      <c r="C97" s="9" t="s">
        <v>7</v>
      </c>
      <c r="D97" s="9" t="s">
        <v>1</v>
      </c>
      <c r="E97" s="16" t="s">
        <v>37</v>
      </c>
      <c r="F97" s="85">
        <v>22102737</v>
      </c>
      <c r="G97" s="89">
        <f t="shared" si="3"/>
        <v>1474</v>
      </c>
    </row>
    <row r="98" spans="1:7">
      <c r="A98" s="10">
        <f t="shared" si="4"/>
        <v>92</v>
      </c>
      <c r="B98" s="9" t="s">
        <v>36</v>
      </c>
      <c r="C98" s="9" t="s">
        <v>5</v>
      </c>
      <c r="D98" s="9" t="s">
        <v>1</v>
      </c>
      <c r="E98" s="16" t="s">
        <v>32</v>
      </c>
      <c r="F98" s="85">
        <v>22102739</v>
      </c>
      <c r="G98" s="89">
        <f t="shared" si="3"/>
        <v>1474</v>
      </c>
    </row>
    <row r="99" spans="1:7">
      <c r="A99" s="10">
        <f t="shared" si="4"/>
        <v>93</v>
      </c>
      <c r="B99" s="9" t="s">
        <v>36</v>
      </c>
      <c r="C99" s="9" t="s">
        <v>2</v>
      </c>
      <c r="D99" s="9" t="s">
        <v>1</v>
      </c>
      <c r="E99" s="16" t="s">
        <v>32</v>
      </c>
      <c r="F99" s="85">
        <v>22102736</v>
      </c>
      <c r="G99" s="89">
        <f t="shared" si="3"/>
        <v>1474</v>
      </c>
    </row>
    <row r="100" spans="1:7" ht="54">
      <c r="A100" s="10">
        <f t="shared" si="4"/>
        <v>94</v>
      </c>
      <c r="B100" s="9" t="s">
        <v>33</v>
      </c>
      <c r="C100" s="9" t="s">
        <v>7</v>
      </c>
      <c r="D100" s="9" t="s">
        <v>1</v>
      </c>
      <c r="E100" s="16" t="s">
        <v>35</v>
      </c>
      <c r="F100" s="85">
        <v>20098564</v>
      </c>
      <c r="G100" s="89">
        <f t="shared" si="3"/>
        <v>1474</v>
      </c>
    </row>
    <row r="101" spans="1:7">
      <c r="A101" s="10">
        <f t="shared" si="4"/>
        <v>95</v>
      </c>
      <c r="B101" s="9" t="s">
        <v>33</v>
      </c>
      <c r="C101" s="9" t="s">
        <v>5</v>
      </c>
      <c r="D101" s="9" t="s">
        <v>1</v>
      </c>
      <c r="E101" s="16" t="s">
        <v>34</v>
      </c>
      <c r="F101" s="85">
        <v>20098564</v>
      </c>
      <c r="G101" s="89">
        <f t="shared" si="3"/>
        <v>1474</v>
      </c>
    </row>
    <row r="102" spans="1:7" ht="18.75" thickBot="1">
      <c r="A102" s="63">
        <f t="shared" si="4"/>
        <v>96</v>
      </c>
      <c r="B102" s="64" t="s">
        <v>33</v>
      </c>
      <c r="C102" s="64" t="s">
        <v>2</v>
      </c>
      <c r="D102" s="64" t="s">
        <v>1</v>
      </c>
      <c r="E102" s="66" t="s">
        <v>32</v>
      </c>
      <c r="F102" s="86">
        <v>20098564</v>
      </c>
      <c r="G102" s="89">
        <f t="shared" si="3"/>
        <v>1474</v>
      </c>
    </row>
    <row r="103" spans="1:7" ht="72">
      <c r="A103" s="8">
        <f t="shared" si="4"/>
        <v>97</v>
      </c>
      <c r="B103" s="7" t="s">
        <v>29</v>
      </c>
      <c r="C103" s="7" t="s">
        <v>7</v>
      </c>
      <c r="D103" s="7" t="s">
        <v>1</v>
      </c>
      <c r="E103" s="60" t="s">
        <v>31</v>
      </c>
      <c r="F103" s="84">
        <v>20098507</v>
      </c>
      <c r="G103" s="89">
        <f t="shared" si="3"/>
        <v>1474</v>
      </c>
    </row>
    <row r="104" spans="1:7">
      <c r="A104" s="10">
        <f t="shared" si="4"/>
        <v>98</v>
      </c>
      <c r="B104" s="9" t="s">
        <v>29</v>
      </c>
      <c r="C104" s="9" t="s">
        <v>5</v>
      </c>
      <c r="D104" s="9" t="s">
        <v>1</v>
      </c>
      <c r="E104" s="16" t="s">
        <v>30</v>
      </c>
      <c r="F104" s="85">
        <v>20098507</v>
      </c>
      <c r="G104" s="89">
        <f t="shared" si="3"/>
        <v>1474</v>
      </c>
    </row>
    <row r="105" spans="1:7">
      <c r="A105" s="10">
        <f t="shared" si="4"/>
        <v>99</v>
      </c>
      <c r="B105" s="9" t="s">
        <v>29</v>
      </c>
      <c r="C105" s="9" t="s">
        <v>2</v>
      </c>
      <c r="D105" s="9" t="s">
        <v>1</v>
      </c>
      <c r="E105" s="16" t="s">
        <v>28</v>
      </c>
      <c r="F105" s="85">
        <v>20098507</v>
      </c>
      <c r="G105" s="89">
        <f t="shared" si="3"/>
        <v>1474</v>
      </c>
    </row>
    <row r="106" spans="1:7">
      <c r="A106" s="10">
        <f t="shared" si="4"/>
        <v>100</v>
      </c>
      <c r="B106" s="9" t="s">
        <v>26</v>
      </c>
      <c r="C106" s="9" t="s">
        <v>7</v>
      </c>
      <c r="D106" s="9" t="s">
        <v>1</v>
      </c>
      <c r="E106" s="16" t="s">
        <v>27</v>
      </c>
      <c r="F106" s="85">
        <v>21082125</v>
      </c>
      <c r="G106" s="89">
        <f t="shared" si="3"/>
        <v>1474</v>
      </c>
    </row>
    <row r="107" spans="1:7">
      <c r="A107" s="10">
        <f t="shared" si="4"/>
        <v>101</v>
      </c>
      <c r="B107" s="9" t="s">
        <v>26</v>
      </c>
      <c r="C107" s="9" t="s">
        <v>5</v>
      </c>
      <c r="D107" s="9" t="s">
        <v>1</v>
      </c>
      <c r="E107" s="16" t="s">
        <v>25</v>
      </c>
      <c r="F107" s="85">
        <v>22102863</v>
      </c>
      <c r="G107" s="89">
        <f t="shared" si="3"/>
        <v>1474</v>
      </c>
    </row>
    <row r="108" spans="1:7">
      <c r="A108" s="10">
        <f t="shared" si="4"/>
        <v>102</v>
      </c>
      <c r="B108" s="9" t="s">
        <v>26</v>
      </c>
      <c r="C108" s="9" t="s">
        <v>2</v>
      </c>
      <c r="D108" s="9" t="s">
        <v>1</v>
      </c>
      <c r="E108" s="16" t="s">
        <v>25</v>
      </c>
      <c r="F108" s="85">
        <v>22102861</v>
      </c>
      <c r="G108" s="89">
        <f t="shared" ref="G108:G126" si="5">1117+357</f>
        <v>1474</v>
      </c>
    </row>
    <row r="109" spans="1:7">
      <c r="A109" s="10">
        <f t="shared" si="4"/>
        <v>103</v>
      </c>
      <c r="B109" s="9" t="s">
        <v>22</v>
      </c>
      <c r="C109" s="9" t="s">
        <v>7</v>
      </c>
      <c r="D109" s="9" t="s">
        <v>1</v>
      </c>
      <c r="E109" s="16" t="s">
        <v>24</v>
      </c>
      <c r="F109" s="85">
        <v>21129915</v>
      </c>
      <c r="G109" s="89">
        <f t="shared" si="5"/>
        <v>1474</v>
      </c>
    </row>
    <row r="110" spans="1:7" ht="72">
      <c r="A110" s="10">
        <f t="shared" si="4"/>
        <v>104</v>
      </c>
      <c r="B110" s="9" t="s">
        <v>22</v>
      </c>
      <c r="C110" s="9" t="s">
        <v>5</v>
      </c>
      <c r="D110" s="9" t="s">
        <v>1</v>
      </c>
      <c r="E110" s="16" t="s">
        <v>23</v>
      </c>
      <c r="F110" s="85">
        <v>22102943</v>
      </c>
      <c r="G110" s="89">
        <f t="shared" si="5"/>
        <v>1474</v>
      </c>
    </row>
    <row r="111" spans="1:7">
      <c r="A111" s="10">
        <f t="shared" si="4"/>
        <v>105</v>
      </c>
      <c r="B111" s="9" t="s">
        <v>22</v>
      </c>
      <c r="C111" s="9" t="s">
        <v>2</v>
      </c>
      <c r="D111" s="9" t="s">
        <v>1</v>
      </c>
      <c r="E111" s="16" t="s">
        <v>21</v>
      </c>
      <c r="F111" s="85">
        <v>21082123</v>
      </c>
      <c r="G111" s="89">
        <f t="shared" si="5"/>
        <v>1474</v>
      </c>
    </row>
    <row r="112" spans="1:7">
      <c r="A112" s="10">
        <f t="shared" si="4"/>
        <v>106</v>
      </c>
      <c r="B112" s="9" t="s">
        <v>19</v>
      </c>
      <c r="C112" s="9" t="s">
        <v>7</v>
      </c>
      <c r="D112" s="9" t="s">
        <v>1</v>
      </c>
      <c r="E112" s="16" t="s">
        <v>18</v>
      </c>
      <c r="F112" s="85">
        <v>19152172</v>
      </c>
      <c r="G112" s="89">
        <f t="shared" si="5"/>
        <v>1474</v>
      </c>
    </row>
    <row r="113" spans="1:7" ht="36">
      <c r="A113" s="10">
        <f t="shared" si="4"/>
        <v>107</v>
      </c>
      <c r="B113" s="9" t="s">
        <v>19</v>
      </c>
      <c r="C113" s="9" t="s">
        <v>5</v>
      </c>
      <c r="D113" s="9" t="s">
        <v>1</v>
      </c>
      <c r="E113" s="16" t="s">
        <v>20</v>
      </c>
      <c r="F113" s="85">
        <v>19152172</v>
      </c>
      <c r="G113" s="89">
        <f t="shared" si="5"/>
        <v>1474</v>
      </c>
    </row>
    <row r="114" spans="1:7">
      <c r="A114" s="10">
        <f t="shared" si="4"/>
        <v>108</v>
      </c>
      <c r="B114" s="9" t="s">
        <v>19</v>
      </c>
      <c r="C114" s="9" t="s">
        <v>2</v>
      </c>
      <c r="D114" s="9" t="s">
        <v>1</v>
      </c>
      <c r="E114" s="16" t="s">
        <v>18</v>
      </c>
      <c r="F114" s="85">
        <v>19152172</v>
      </c>
      <c r="G114" s="89">
        <f t="shared" si="5"/>
        <v>1474</v>
      </c>
    </row>
    <row r="115" spans="1:7" ht="36">
      <c r="A115" s="10">
        <f t="shared" si="4"/>
        <v>109</v>
      </c>
      <c r="B115" s="9" t="s">
        <v>15</v>
      </c>
      <c r="C115" s="9" t="s">
        <v>7</v>
      </c>
      <c r="D115" s="9" t="s">
        <v>1</v>
      </c>
      <c r="E115" s="16" t="s">
        <v>17</v>
      </c>
      <c r="F115" s="85">
        <v>19152169</v>
      </c>
      <c r="G115" s="89">
        <f t="shared" si="5"/>
        <v>1474</v>
      </c>
    </row>
    <row r="116" spans="1:7" ht="90">
      <c r="A116" s="10">
        <f t="shared" si="4"/>
        <v>110</v>
      </c>
      <c r="B116" s="9" t="s">
        <v>15</v>
      </c>
      <c r="C116" s="9" t="s">
        <v>5</v>
      </c>
      <c r="D116" s="9" t="s">
        <v>1</v>
      </c>
      <c r="E116" s="16" t="s">
        <v>16</v>
      </c>
      <c r="F116" s="85">
        <v>19152169</v>
      </c>
      <c r="G116" s="89">
        <f t="shared" si="5"/>
        <v>1474</v>
      </c>
    </row>
    <row r="117" spans="1:7">
      <c r="A117" s="10">
        <f t="shared" si="4"/>
        <v>111</v>
      </c>
      <c r="B117" s="9" t="s">
        <v>15</v>
      </c>
      <c r="C117" s="9" t="s">
        <v>2</v>
      </c>
      <c r="D117" s="9" t="s">
        <v>1</v>
      </c>
      <c r="E117" s="16" t="s">
        <v>14</v>
      </c>
      <c r="F117" s="85">
        <v>22102940</v>
      </c>
      <c r="G117" s="89">
        <f t="shared" si="5"/>
        <v>1474</v>
      </c>
    </row>
    <row r="118" spans="1:7" ht="36">
      <c r="A118" s="10">
        <f t="shared" si="4"/>
        <v>112</v>
      </c>
      <c r="B118" s="9" t="s">
        <v>11</v>
      </c>
      <c r="C118" s="9" t="s">
        <v>7</v>
      </c>
      <c r="D118" s="9" t="s">
        <v>1</v>
      </c>
      <c r="E118" s="16" t="s">
        <v>13</v>
      </c>
      <c r="F118" s="85">
        <v>20098575</v>
      </c>
      <c r="G118" s="89">
        <f t="shared" si="5"/>
        <v>1474</v>
      </c>
    </row>
    <row r="119" spans="1:7" ht="90">
      <c r="A119" s="10">
        <f t="shared" si="4"/>
        <v>113</v>
      </c>
      <c r="B119" s="9" t="s">
        <v>11</v>
      </c>
      <c r="C119" s="9" t="s">
        <v>5</v>
      </c>
      <c r="D119" s="9" t="s">
        <v>1</v>
      </c>
      <c r="E119" s="16" t="s">
        <v>12</v>
      </c>
      <c r="F119" s="85">
        <v>20098575</v>
      </c>
      <c r="G119" s="89">
        <f t="shared" si="5"/>
        <v>1474</v>
      </c>
    </row>
    <row r="120" spans="1:7">
      <c r="A120" s="10">
        <f t="shared" si="4"/>
        <v>114</v>
      </c>
      <c r="B120" s="9" t="s">
        <v>11</v>
      </c>
      <c r="C120" s="9" t="s">
        <v>2</v>
      </c>
      <c r="D120" s="9" t="s">
        <v>1</v>
      </c>
      <c r="E120" s="16" t="s">
        <v>0</v>
      </c>
      <c r="F120" s="85">
        <v>20098575</v>
      </c>
      <c r="G120" s="89">
        <f t="shared" si="5"/>
        <v>1474</v>
      </c>
    </row>
    <row r="121" spans="1:7" ht="36">
      <c r="A121" s="10">
        <f t="shared" si="4"/>
        <v>115</v>
      </c>
      <c r="B121" s="9" t="s">
        <v>8</v>
      </c>
      <c r="C121" s="9" t="s">
        <v>7</v>
      </c>
      <c r="D121" s="9" t="s">
        <v>1</v>
      </c>
      <c r="E121" s="16" t="s">
        <v>10</v>
      </c>
      <c r="F121" s="85">
        <v>24195889</v>
      </c>
      <c r="G121" s="89">
        <f t="shared" si="5"/>
        <v>1474</v>
      </c>
    </row>
    <row r="122" spans="1:7">
      <c r="A122" s="10">
        <f t="shared" si="4"/>
        <v>116</v>
      </c>
      <c r="B122" s="9" t="s">
        <v>8</v>
      </c>
      <c r="C122" s="9" t="s">
        <v>5</v>
      </c>
      <c r="D122" s="9" t="s">
        <v>1</v>
      </c>
      <c r="E122" s="16" t="s">
        <v>9</v>
      </c>
      <c r="F122" s="85">
        <v>24195890</v>
      </c>
      <c r="G122" s="89">
        <f t="shared" si="5"/>
        <v>1474</v>
      </c>
    </row>
    <row r="123" spans="1:7">
      <c r="A123" s="10">
        <f t="shared" si="4"/>
        <v>117</v>
      </c>
      <c r="B123" s="9" t="s">
        <v>8</v>
      </c>
      <c r="C123" s="9" t="s">
        <v>2</v>
      </c>
      <c r="D123" s="9" t="s">
        <v>1</v>
      </c>
      <c r="E123" s="16" t="s">
        <v>0</v>
      </c>
      <c r="F123" s="85">
        <v>20098574</v>
      </c>
      <c r="G123" s="89">
        <f t="shared" si="5"/>
        <v>1474</v>
      </c>
    </row>
    <row r="124" spans="1:7" ht="36">
      <c r="A124" s="10">
        <f t="shared" si="4"/>
        <v>118</v>
      </c>
      <c r="B124" s="9" t="s">
        <v>3</v>
      </c>
      <c r="C124" s="9" t="s">
        <v>7</v>
      </c>
      <c r="D124" s="9" t="s">
        <v>1</v>
      </c>
      <c r="E124" s="16" t="s">
        <v>6</v>
      </c>
      <c r="F124" s="85">
        <v>24195892</v>
      </c>
      <c r="G124" s="89">
        <f t="shared" si="5"/>
        <v>1474</v>
      </c>
    </row>
    <row r="125" spans="1:7" ht="72">
      <c r="A125" s="10">
        <f t="shared" si="4"/>
        <v>119</v>
      </c>
      <c r="B125" s="9" t="s">
        <v>3</v>
      </c>
      <c r="C125" s="9" t="s">
        <v>5</v>
      </c>
      <c r="D125" s="9" t="s">
        <v>1</v>
      </c>
      <c r="E125" s="16" t="s">
        <v>4</v>
      </c>
      <c r="F125" s="85">
        <v>20098573</v>
      </c>
      <c r="G125" s="89">
        <f t="shared" si="5"/>
        <v>1474</v>
      </c>
    </row>
    <row r="126" spans="1:7">
      <c r="A126" s="10">
        <f t="shared" si="4"/>
        <v>120</v>
      </c>
      <c r="B126" s="9" t="s">
        <v>3</v>
      </c>
      <c r="C126" s="9" t="s">
        <v>2</v>
      </c>
      <c r="D126" s="9" t="s">
        <v>1</v>
      </c>
      <c r="E126" s="16" t="s">
        <v>0</v>
      </c>
      <c r="F126" s="85">
        <v>24195891</v>
      </c>
      <c r="G126" s="89">
        <f t="shared" si="5"/>
        <v>1474</v>
      </c>
    </row>
    <row r="127" spans="1:7" ht="18.75" thickBot="1">
      <c r="A127" s="13"/>
      <c r="B127" s="12"/>
      <c r="C127" s="12"/>
      <c r="D127" s="12"/>
      <c r="F127" s="87"/>
      <c r="G127" s="89"/>
    </row>
    <row r="128" spans="1:7" ht="18.75" thickBot="1">
      <c r="A128" s="15"/>
      <c r="B128" s="14"/>
      <c r="C128" s="14"/>
      <c r="D128" s="14"/>
      <c r="E128" s="19"/>
      <c r="F128" s="88"/>
      <c r="G128" s="89"/>
    </row>
  </sheetData>
  <autoFilter ref="A6:F126"/>
  <mergeCells count="1">
    <mergeCell ref="A2:F2"/>
  </mergeCells>
  <pageMargins left="0.45" right="0.25" top="1.75" bottom="0.75" header="0.3" footer="0.3"/>
  <pageSetup scale="65" fitToHeight="3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N41"/>
  <sheetViews>
    <sheetView workbookViewId="0">
      <selection activeCell="A26" sqref="A26"/>
    </sheetView>
  </sheetViews>
  <sheetFormatPr defaultRowHeight="18"/>
  <cols>
    <col min="1" max="1" width="6.42578125" style="40" bestFit="1" customWidth="1"/>
    <col min="2" max="2" width="14.5703125" style="40" customWidth="1"/>
    <col min="3" max="3" width="15.85546875" style="40" customWidth="1"/>
    <col min="4" max="4" width="30.5703125" style="54" bestFit="1" customWidth="1"/>
    <col min="5" max="5" width="18.140625" style="3" customWidth="1"/>
    <col min="6" max="6" width="11.28515625" style="44" hidden="1" customWidth="1"/>
    <col min="7" max="16384" width="9.140625" style="40"/>
  </cols>
  <sheetData>
    <row r="2" spans="1:14" ht="45.75">
      <c r="A2" s="72" t="s">
        <v>152</v>
      </c>
      <c r="B2" s="73"/>
      <c r="C2" s="73"/>
      <c r="D2" s="73"/>
      <c r="E2" s="73"/>
      <c r="F2" s="73"/>
      <c r="G2" s="55"/>
      <c r="H2" s="55"/>
      <c r="I2" s="55"/>
      <c r="J2" s="55"/>
      <c r="K2" s="55"/>
      <c r="L2" s="55"/>
      <c r="M2" s="55"/>
      <c r="N2" s="55"/>
    </row>
    <row r="3" spans="1:14" ht="17.25" customHeight="1"/>
    <row r="4" spans="1:14">
      <c r="A4" s="69"/>
      <c r="B4" s="70"/>
      <c r="C4" s="70"/>
      <c r="D4" s="70"/>
      <c r="E4" s="70"/>
      <c r="F4" s="70"/>
      <c r="G4" s="3"/>
      <c r="H4" s="3"/>
      <c r="I4" s="3"/>
      <c r="J4" s="3"/>
      <c r="K4" s="3"/>
      <c r="L4" s="3"/>
      <c r="M4" s="3"/>
      <c r="N4" s="3"/>
    </row>
    <row r="5" spans="1:14" ht="18.75" thickBot="1"/>
    <row r="6" spans="1:14" s="41" customFormat="1" ht="24" thickBot="1">
      <c r="A6" s="74" t="s">
        <v>204</v>
      </c>
      <c r="B6" s="75"/>
      <c r="C6" s="75"/>
      <c r="D6" s="75"/>
      <c r="E6" s="75"/>
      <c r="F6" s="75"/>
    </row>
    <row r="7" spans="1:14" s="44" customFormat="1" ht="18.75" thickBot="1">
      <c r="A7" s="42" t="s">
        <v>153</v>
      </c>
      <c r="B7" s="42" t="s">
        <v>205</v>
      </c>
      <c r="C7" s="42" t="s">
        <v>154</v>
      </c>
      <c r="D7" s="42" t="s">
        <v>155</v>
      </c>
      <c r="E7" s="42" t="s">
        <v>150</v>
      </c>
      <c r="F7" s="43" t="s">
        <v>156</v>
      </c>
    </row>
    <row r="8" spans="1:14" s="44" customFormat="1" ht="18.75" thickBot="1">
      <c r="A8" s="81" t="s">
        <v>206</v>
      </c>
      <c r="B8" s="82"/>
      <c r="C8" s="45"/>
      <c r="D8" s="45"/>
      <c r="E8" s="45"/>
      <c r="F8" s="46"/>
    </row>
    <row r="9" spans="1:14" ht="31.5">
      <c r="A9" s="35">
        <v>1</v>
      </c>
      <c r="B9" s="21" t="s">
        <v>157</v>
      </c>
      <c r="C9" s="20" t="s">
        <v>158</v>
      </c>
      <c r="D9" s="21" t="s">
        <v>159</v>
      </c>
      <c r="E9" s="20">
        <v>19151952</v>
      </c>
      <c r="F9" s="22">
        <v>0</v>
      </c>
    </row>
    <row r="10" spans="1:14" ht="18.75" thickBot="1">
      <c r="A10" s="20">
        <v>2</v>
      </c>
      <c r="B10" s="21" t="s">
        <v>160</v>
      </c>
      <c r="C10" s="20" t="s">
        <v>161</v>
      </c>
      <c r="D10" s="21" t="s">
        <v>162</v>
      </c>
      <c r="E10" s="20">
        <v>628544</v>
      </c>
      <c r="F10" s="22">
        <v>701</v>
      </c>
    </row>
    <row r="11" spans="1:14">
      <c r="A11" s="35">
        <v>3</v>
      </c>
      <c r="B11" s="21" t="s">
        <v>163</v>
      </c>
      <c r="C11" s="20" t="s">
        <v>163</v>
      </c>
      <c r="D11" s="21" t="s">
        <v>164</v>
      </c>
      <c r="E11" s="20">
        <v>10094</v>
      </c>
      <c r="F11" s="22">
        <v>307</v>
      </c>
    </row>
    <row r="12" spans="1:14" ht="18.75" thickBot="1">
      <c r="A12" s="20">
        <v>4</v>
      </c>
      <c r="B12" s="20" t="s">
        <v>165</v>
      </c>
      <c r="C12" s="20" t="s">
        <v>165</v>
      </c>
      <c r="D12" s="21" t="s">
        <v>166</v>
      </c>
      <c r="E12" s="20">
        <v>17154743</v>
      </c>
      <c r="F12" s="22">
        <v>714</v>
      </c>
    </row>
    <row r="13" spans="1:14" ht="31.5">
      <c r="A13" s="35">
        <v>5</v>
      </c>
      <c r="B13" s="20" t="s">
        <v>167</v>
      </c>
      <c r="C13" s="20" t="s">
        <v>167</v>
      </c>
      <c r="D13" s="21" t="s">
        <v>168</v>
      </c>
      <c r="E13" s="20">
        <v>2102834</v>
      </c>
      <c r="F13" s="22">
        <v>24</v>
      </c>
    </row>
    <row r="14" spans="1:14" ht="18.75" thickBot="1">
      <c r="A14" s="20">
        <v>6</v>
      </c>
      <c r="B14" s="20" t="s">
        <v>169</v>
      </c>
      <c r="C14" s="20" t="s">
        <v>169</v>
      </c>
      <c r="D14" s="21" t="s">
        <v>170</v>
      </c>
      <c r="E14" s="20">
        <v>23103931</v>
      </c>
      <c r="F14" s="22">
        <v>15</v>
      </c>
    </row>
    <row r="15" spans="1:14" ht="31.5">
      <c r="A15" s="35">
        <v>7</v>
      </c>
      <c r="B15" s="20" t="s">
        <v>171</v>
      </c>
      <c r="C15" s="20" t="s">
        <v>171</v>
      </c>
      <c r="D15" s="21" t="s">
        <v>172</v>
      </c>
      <c r="E15" s="20">
        <v>23103939</v>
      </c>
      <c r="F15" s="22">
        <v>325</v>
      </c>
    </row>
    <row r="16" spans="1:14" ht="18.75" thickBot="1">
      <c r="A16" s="20">
        <v>8</v>
      </c>
      <c r="B16" s="20" t="s">
        <v>173</v>
      </c>
      <c r="C16" s="20" t="s">
        <v>173</v>
      </c>
      <c r="D16" s="21" t="s">
        <v>174</v>
      </c>
      <c r="E16" s="20">
        <v>22102402</v>
      </c>
      <c r="F16" s="22">
        <v>13</v>
      </c>
    </row>
    <row r="17" spans="1:6">
      <c r="A17" s="35">
        <v>9</v>
      </c>
      <c r="B17" s="20" t="s">
        <v>175</v>
      </c>
      <c r="C17" s="20" t="s">
        <v>175</v>
      </c>
      <c r="D17" s="21" t="s">
        <v>176</v>
      </c>
      <c r="E17" s="20">
        <v>23103821</v>
      </c>
      <c r="F17" s="22">
        <v>4</v>
      </c>
    </row>
    <row r="18" spans="1:6" ht="18.75" thickBot="1">
      <c r="A18" s="20">
        <v>10</v>
      </c>
      <c r="B18" s="20" t="s">
        <v>177</v>
      </c>
      <c r="C18" s="20" t="s">
        <v>177</v>
      </c>
      <c r="D18" s="21" t="s">
        <v>178</v>
      </c>
      <c r="E18" s="20">
        <v>24114216</v>
      </c>
      <c r="F18" s="22">
        <v>522</v>
      </c>
    </row>
    <row r="19" spans="1:6">
      <c r="A19" s="35">
        <v>11</v>
      </c>
      <c r="B19" s="20" t="s">
        <v>179</v>
      </c>
      <c r="C19" s="20" t="s">
        <v>179</v>
      </c>
      <c r="D19" s="21" t="s">
        <v>180</v>
      </c>
      <c r="E19" s="20">
        <v>22102833</v>
      </c>
      <c r="F19" s="22">
        <v>519</v>
      </c>
    </row>
    <row r="20" spans="1:6" ht="48" thickBot="1">
      <c r="A20" s="20">
        <v>12</v>
      </c>
      <c r="B20" s="21" t="s">
        <v>181</v>
      </c>
      <c r="C20" s="21" t="s">
        <v>182</v>
      </c>
      <c r="D20" s="21" t="s">
        <v>183</v>
      </c>
      <c r="E20" s="20">
        <v>149073</v>
      </c>
      <c r="F20" s="22">
        <v>95</v>
      </c>
    </row>
    <row r="21" spans="1:6" s="47" customFormat="1" ht="30">
      <c r="A21" s="35">
        <v>13</v>
      </c>
      <c r="B21" s="23" t="s">
        <v>184</v>
      </c>
      <c r="C21" s="23" t="s">
        <v>184</v>
      </c>
      <c r="D21" s="20">
        <v>288581</v>
      </c>
      <c r="E21" s="24">
        <v>288581</v>
      </c>
      <c r="F21" s="22">
        <v>0</v>
      </c>
    </row>
    <row r="22" spans="1:6" ht="32.25" thickBot="1">
      <c r="A22" s="20">
        <v>14</v>
      </c>
      <c r="B22" s="21" t="s">
        <v>185</v>
      </c>
      <c r="C22" s="21" t="s">
        <v>185</v>
      </c>
      <c r="D22" s="21" t="s">
        <v>186</v>
      </c>
      <c r="E22" s="20">
        <v>271381</v>
      </c>
      <c r="F22" s="22">
        <v>47</v>
      </c>
    </row>
    <row r="23" spans="1:6">
      <c r="A23" s="35">
        <v>15</v>
      </c>
      <c r="B23" s="21" t="s">
        <v>187</v>
      </c>
      <c r="C23" s="21" t="s">
        <v>188</v>
      </c>
      <c r="D23" s="21" t="s">
        <v>188</v>
      </c>
      <c r="E23" s="20">
        <v>212826</v>
      </c>
      <c r="F23" s="22">
        <v>17</v>
      </c>
    </row>
    <row r="24" spans="1:6" ht="18.75" thickBot="1">
      <c r="A24" s="20">
        <v>16</v>
      </c>
      <c r="B24" s="20" t="s">
        <v>189</v>
      </c>
      <c r="C24" s="20" t="s">
        <v>190</v>
      </c>
      <c r="D24" s="21" t="s">
        <v>191</v>
      </c>
      <c r="E24" s="20">
        <v>140164</v>
      </c>
      <c r="F24" s="22">
        <v>0</v>
      </c>
    </row>
    <row r="25" spans="1:6" ht="24" thickBot="1">
      <c r="A25" s="76" t="s">
        <v>207</v>
      </c>
      <c r="B25" s="77"/>
      <c r="C25" s="77"/>
      <c r="D25" s="77"/>
      <c r="E25" s="77"/>
      <c r="F25" s="25"/>
    </row>
    <row r="26" spans="1:6" ht="48" customHeight="1">
      <c r="A26" s="26">
        <v>1</v>
      </c>
      <c r="B26" s="35" t="s">
        <v>151</v>
      </c>
      <c r="C26" s="39">
        <v>2</v>
      </c>
      <c r="D26" s="36" t="s">
        <v>192</v>
      </c>
      <c r="E26" s="26">
        <v>19151951</v>
      </c>
      <c r="F26" s="27">
        <v>397</v>
      </c>
    </row>
    <row r="27" spans="1:6" ht="32.25" customHeight="1">
      <c r="A27" s="20">
        <v>2</v>
      </c>
      <c r="B27" s="20" t="s">
        <v>151</v>
      </c>
      <c r="C27" s="33">
        <v>3</v>
      </c>
      <c r="D27" s="37" t="s">
        <v>193</v>
      </c>
      <c r="E27" s="20">
        <v>20098577</v>
      </c>
      <c r="F27" s="28">
        <v>0</v>
      </c>
    </row>
    <row r="28" spans="1:6" ht="23.25" customHeight="1">
      <c r="A28" s="26">
        <v>3</v>
      </c>
      <c r="B28" s="20" t="s">
        <v>151</v>
      </c>
      <c r="C28" s="33">
        <v>4</v>
      </c>
      <c r="D28" s="37" t="s">
        <v>194</v>
      </c>
      <c r="E28" s="20">
        <v>24114399</v>
      </c>
      <c r="F28" s="28"/>
    </row>
    <row r="29" spans="1:6" ht="32.25" customHeight="1">
      <c r="A29" s="20">
        <v>4</v>
      </c>
      <c r="B29" s="20" t="s">
        <v>151</v>
      </c>
      <c r="C29" s="33">
        <v>5</v>
      </c>
      <c r="D29" s="37" t="s">
        <v>195</v>
      </c>
      <c r="E29" s="20">
        <v>29102948</v>
      </c>
      <c r="F29" s="28">
        <v>1112</v>
      </c>
    </row>
    <row r="30" spans="1:6" ht="43.5" customHeight="1">
      <c r="A30" s="26">
        <v>5</v>
      </c>
      <c r="B30" s="20" t="s">
        <v>151</v>
      </c>
      <c r="C30" s="33">
        <v>8</v>
      </c>
      <c r="D30" s="37" t="s">
        <v>196</v>
      </c>
      <c r="E30" s="20">
        <v>18148633</v>
      </c>
      <c r="F30" s="28">
        <v>0</v>
      </c>
    </row>
    <row r="31" spans="1:6" ht="23.25" customHeight="1">
      <c r="A31" s="20">
        <v>6</v>
      </c>
      <c r="B31" s="20" t="s">
        <v>151</v>
      </c>
      <c r="C31" s="33">
        <v>9</v>
      </c>
      <c r="D31" s="37" t="s">
        <v>197</v>
      </c>
      <c r="E31" s="20"/>
      <c r="F31" s="28"/>
    </row>
    <row r="32" spans="1:6" ht="23.25" customHeight="1">
      <c r="A32" s="26">
        <v>7</v>
      </c>
      <c r="B32" s="20" t="s">
        <v>151</v>
      </c>
      <c r="C32" s="33">
        <v>12</v>
      </c>
      <c r="D32" s="37" t="s">
        <v>198</v>
      </c>
      <c r="E32" s="20">
        <v>572839</v>
      </c>
      <c r="F32" s="28">
        <v>593</v>
      </c>
    </row>
    <row r="33" spans="1:6" ht="23.25" customHeight="1">
      <c r="A33" s="20">
        <v>8</v>
      </c>
      <c r="B33" s="20" t="s">
        <v>151</v>
      </c>
      <c r="C33" s="33">
        <v>13</v>
      </c>
      <c r="D33" s="37" t="s">
        <v>199</v>
      </c>
      <c r="E33" s="20"/>
      <c r="F33" s="28"/>
    </row>
    <row r="34" spans="1:6" ht="25.5" customHeight="1" thickBot="1">
      <c r="A34" s="26">
        <v>9</v>
      </c>
      <c r="B34" s="29" t="s">
        <v>151</v>
      </c>
      <c r="C34" s="34">
        <v>14</v>
      </c>
      <c r="D34" s="38" t="s">
        <v>200</v>
      </c>
      <c r="E34" s="29"/>
      <c r="F34" s="30">
        <v>0</v>
      </c>
    </row>
    <row r="35" spans="1:6" ht="25.5" customHeight="1" thickBot="1">
      <c r="A35" s="20">
        <v>10</v>
      </c>
      <c r="B35" s="32" t="s">
        <v>203</v>
      </c>
      <c r="C35" s="4"/>
      <c r="D35" s="31" t="s">
        <v>201</v>
      </c>
      <c r="E35" s="32">
        <v>24197071</v>
      </c>
      <c r="F35" s="5"/>
    </row>
    <row r="36" spans="1:6" s="50" customFormat="1" ht="40.5" customHeight="1" thickBot="1">
      <c r="A36" s="78" t="s">
        <v>202</v>
      </c>
      <c r="B36" s="79"/>
      <c r="C36" s="79"/>
      <c r="D36" s="80"/>
      <c r="E36" s="48"/>
      <c r="F36" s="49">
        <f>+SUM(F9:F34)</f>
        <v>5405</v>
      </c>
    </row>
    <row r="37" spans="1:6" ht="15">
      <c r="A37" s="51"/>
      <c r="B37" s="51"/>
      <c r="C37" s="51"/>
      <c r="D37" s="52"/>
      <c r="E37" s="51"/>
      <c r="F37" s="51"/>
    </row>
    <row r="38" spans="1:6" ht="15">
      <c r="A38" s="53"/>
      <c r="B38" s="53"/>
      <c r="C38" s="53"/>
      <c r="E38" s="53"/>
      <c r="F38" s="53"/>
    </row>
    <row r="39" spans="1:6" ht="15">
      <c r="A39" s="53"/>
      <c r="B39" s="53"/>
      <c r="C39" s="53"/>
      <c r="E39" s="53"/>
      <c r="F39" s="53"/>
    </row>
    <row r="40" spans="1:6" ht="15">
      <c r="A40" s="53"/>
      <c r="B40" s="53"/>
      <c r="C40" s="53"/>
      <c r="E40" s="53"/>
      <c r="F40" s="53"/>
    </row>
    <row r="41" spans="1:6" ht="15">
      <c r="A41" s="53"/>
      <c r="B41" s="53"/>
      <c r="C41" s="53"/>
      <c r="E41" s="53"/>
      <c r="F41" s="53"/>
    </row>
  </sheetData>
  <mergeCells count="5">
    <mergeCell ref="A2:F2"/>
    <mergeCell ref="A6:F6"/>
    <mergeCell ref="A25:E25"/>
    <mergeCell ref="A36:D36"/>
    <mergeCell ref="A8:B8"/>
  </mergeCells>
  <pageMargins left="0.7" right="0.7" top="0.75" bottom="0.75" header="0.3" footer="0.3"/>
  <pageSetup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Flats </vt:lpstr>
      <vt:lpstr>Villas</vt:lpstr>
      <vt:lpstr>'Flats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hp</cp:lastModifiedBy>
  <cp:lastPrinted>2025-11-26T09:40:25Z</cp:lastPrinted>
  <dcterms:created xsi:type="dcterms:W3CDTF">2025-11-06T10:10:06Z</dcterms:created>
  <dcterms:modified xsi:type="dcterms:W3CDTF">2025-12-01T11:18:49Z</dcterms:modified>
</cp:coreProperties>
</file>